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70" windowHeight="13690" activeTab="1"/>
  </bookViews>
  <sheets>
    <sheet name="Sheet1" sheetId="1" r:id="rId1"/>
    <sheet name="statis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<sst xmlns="http://schemas.openxmlformats.org/spreadsheetml/2006/main" count="269" uniqueCount="246">
  <si>
    <t>L23IT_HAPCAL1</t>
  </si>
  <si>
    <t>Peak_Index</t>
  </si>
  <si>
    <t>ITrorb</t>
  </si>
  <si>
    <t>L5IT</t>
  </si>
  <si>
    <t>VEN</t>
  </si>
  <si>
    <t>L5ET</t>
  </si>
  <si>
    <t>L6PC</t>
  </si>
  <si>
    <t>s422'</t>
  </si>
  <si>
    <t>s210'</t>
  </si>
  <si>
    <t>s170'</t>
  </si>
  <si>
    <t>s173'</t>
  </si>
  <si>
    <t>s485'</t>
  </si>
  <si>
    <t>s496'</t>
  </si>
  <si>
    <t>s498'</t>
  </si>
  <si>
    <t>s535'</t>
  </si>
  <si>
    <t>s175'</t>
  </si>
  <si>
    <t>s174'</t>
  </si>
  <si>
    <t>s486'</t>
  </si>
  <si>
    <t>s497'</t>
  </si>
  <si>
    <t>s539'</t>
  </si>
  <si>
    <t>s547'</t>
  </si>
  <si>
    <t>s177'</t>
  </si>
  <si>
    <t>s211'</t>
  </si>
  <si>
    <t>B289'</t>
  </si>
  <si>
    <t>s532'</t>
  </si>
  <si>
    <t>s544'</t>
  </si>
  <si>
    <t>s620'</t>
  </si>
  <si>
    <t>s218'</t>
  </si>
  <si>
    <t>s427'</t>
  </si>
  <si>
    <t>B333'</t>
  </si>
  <si>
    <t>s712'</t>
  </si>
  <si>
    <t>s546'</t>
  </si>
  <si>
    <t>B561'</t>
  </si>
  <si>
    <t>s219'</t>
  </si>
  <si>
    <t>s428'</t>
  </si>
  <si>
    <t>B361'</t>
  </si>
  <si>
    <t>n4'</t>
  </si>
  <si>
    <t>s554'</t>
  </si>
  <si>
    <t>n26'</t>
  </si>
  <si>
    <t>s221'</t>
  </si>
  <si>
    <t>s466'</t>
  </si>
  <si>
    <t>B557'</t>
  </si>
  <si>
    <t>n30'</t>
  </si>
  <si>
    <t>B556'</t>
  </si>
  <si>
    <t>n44'</t>
  </si>
  <si>
    <t>s222'</t>
  </si>
  <si>
    <t>s471'</t>
  </si>
  <si>
    <t>B722'</t>
  </si>
  <si>
    <t>n34'</t>
  </si>
  <si>
    <t>B562'</t>
  </si>
  <si>
    <t>n51'</t>
  </si>
  <si>
    <t>nan</t>
  </si>
  <si>
    <t>s225'</t>
  </si>
  <si>
    <t>s475'</t>
  </si>
  <si>
    <t>B725'</t>
  </si>
  <si>
    <t>n41'</t>
  </si>
  <si>
    <t>B572'</t>
  </si>
  <si>
    <t>n64'</t>
  </si>
  <si>
    <t>s227'</t>
  </si>
  <si>
    <t>s476'</t>
  </si>
  <si>
    <t>B735'</t>
  </si>
  <si>
    <t>n120'</t>
  </si>
  <si>
    <t>n23'</t>
  </si>
  <si>
    <t>n69'</t>
  </si>
  <si>
    <t>s212'</t>
  </si>
  <si>
    <t>s495'</t>
  </si>
  <si>
    <t>n46'</t>
  </si>
  <si>
    <t>n145'</t>
  </si>
  <si>
    <t>n50'</t>
  </si>
  <si>
    <t>n68'</t>
  </si>
  <si>
    <t>s213'</t>
  </si>
  <si>
    <t>s538'</t>
  </si>
  <si>
    <t>n15'</t>
  </si>
  <si>
    <t>n159'</t>
  </si>
  <si>
    <t>n22'</t>
  </si>
  <si>
    <t>n73'</t>
  </si>
  <si>
    <t>s214'</t>
  </si>
  <si>
    <t>s647'</t>
  </si>
  <si>
    <t>n29'</t>
  </si>
  <si>
    <t>n174'</t>
  </si>
  <si>
    <t>n67'</t>
  </si>
  <si>
    <t>n105'</t>
  </si>
  <si>
    <t>s418'</t>
  </si>
  <si>
    <t>s649'</t>
  </si>
  <si>
    <t>n47'</t>
  </si>
  <si>
    <t>n180'</t>
  </si>
  <si>
    <t>n78'</t>
  </si>
  <si>
    <t>n123'</t>
  </si>
  <si>
    <t>s419'</t>
  </si>
  <si>
    <t>s673'</t>
  </si>
  <si>
    <t>n84'</t>
  </si>
  <si>
    <t>n82'</t>
  </si>
  <si>
    <t>n122'</t>
  </si>
  <si>
    <t>s423'</t>
  </si>
  <si>
    <t>s695'</t>
  </si>
  <si>
    <t>n153'</t>
  </si>
  <si>
    <t>n86'</t>
  </si>
  <si>
    <t>n146'</t>
  </si>
  <si>
    <t>s425'</t>
  </si>
  <si>
    <t>s717'</t>
  </si>
  <si>
    <t>n187'</t>
  </si>
  <si>
    <t>n63'</t>
  </si>
  <si>
    <t>n160'</t>
  </si>
  <si>
    <t>s426'</t>
  </si>
  <si>
    <t>B553'</t>
  </si>
  <si>
    <t>n190'</t>
  </si>
  <si>
    <t>n66'</t>
  </si>
  <si>
    <t>n196'</t>
  </si>
  <si>
    <t>s438'</t>
  </si>
  <si>
    <t>B571'</t>
  </si>
  <si>
    <t>n77'</t>
  </si>
  <si>
    <t>n198'</t>
  </si>
  <si>
    <t>s441'</t>
  </si>
  <si>
    <t>B721'</t>
  </si>
  <si>
    <t>n83'</t>
  </si>
  <si>
    <t>n200'</t>
  </si>
  <si>
    <t>s442'</t>
  </si>
  <si>
    <t>n70'</t>
  </si>
  <si>
    <t>n85'</t>
  </si>
  <si>
    <t>n202'</t>
  </si>
  <si>
    <t>s443'</t>
  </si>
  <si>
    <t>n71'</t>
  </si>
  <si>
    <t>n144'</t>
  </si>
  <si>
    <t>n177'</t>
  </si>
  <si>
    <t>s444'</t>
  </si>
  <si>
    <t>n90'</t>
  </si>
  <si>
    <t>n152'</t>
  </si>
  <si>
    <t>s461'</t>
  </si>
  <si>
    <t>n79'</t>
  </si>
  <si>
    <t>n173'</t>
  </si>
  <si>
    <t>s463'</t>
  </si>
  <si>
    <t>n143'</t>
  </si>
  <si>
    <t>n192'</t>
  </si>
  <si>
    <t>s464'</t>
  </si>
  <si>
    <t>n154'</t>
  </si>
  <si>
    <t>n178'</t>
  </si>
  <si>
    <t>s465'</t>
  </si>
  <si>
    <t>n155'</t>
  </si>
  <si>
    <t>n181'</t>
  </si>
  <si>
    <t>s467'</t>
  </si>
  <si>
    <t>n176'</t>
  </si>
  <si>
    <t>n185'</t>
  </si>
  <si>
    <t>s468'</t>
  </si>
  <si>
    <t>n179'</t>
  </si>
  <si>
    <t>n193'</t>
  </si>
  <si>
    <t>s470'</t>
  </si>
  <si>
    <t>n186'</t>
  </si>
  <si>
    <t>n197'</t>
  </si>
  <si>
    <t>s472'</t>
  </si>
  <si>
    <t>s473'</t>
  </si>
  <si>
    <t>s481'</t>
  </si>
  <si>
    <t>s484'</t>
  </si>
  <si>
    <t>s493'</t>
  </si>
  <si>
    <t>s499'</t>
  </si>
  <si>
    <t>s500'</t>
  </si>
  <si>
    <t>s501'</t>
  </si>
  <si>
    <t>mean</t>
  </si>
  <si>
    <t>s506'</t>
  </si>
  <si>
    <t>std</t>
  </si>
  <si>
    <t>s508'</t>
  </si>
  <si>
    <t>SE</t>
  </si>
  <si>
    <t>s509'</t>
  </si>
  <si>
    <t>s515'</t>
  </si>
  <si>
    <t>s516'</t>
  </si>
  <si>
    <t>s533'</t>
  </si>
  <si>
    <t>s534'</t>
  </si>
  <si>
    <t>s536'</t>
  </si>
  <si>
    <t>Kruskal-Wallis test:</t>
  </si>
  <si>
    <t>s543'</t>
  </si>
  <si>
    <t>s548'</t>
  </si>
  <si>
    <t>s549'</t>
  </si>
  <si>
    <t>s551'</t>
  </si>
  <si>
    <t>s553'</t>
  </si>
  <si>
    <t>s621'</t>
  </si>
  <si>
    <t>s622'</t>
  </si>
  <si>
    <t>s623'</t>
  </si>
  <si>
    <t>s624'</t>
  </si>
  <si>
    <t>s628'</t>
  </si>
  <si>
    <t>s629'</t>
  </si>
  <si>
    <t>s630'</t>
  </si>
  <si>
    <t>s631'</t>
  </si>
  <si>
    <t>s655'</t>
  </si>
  <si>
    <t>s657'</t>
  </si>
  <si>
    <t>s661'</t>
  </si>
  <si>
    <t>s666'</t>
  </si>
  <si>
    <t>s672'</t>
  </si>
  <si>
    <t>s680'</t>
  </si>
  <si>
    <t>s681'</t>
  </si>
  <si>
    <t>s690'</t>
  </si>
  <si>
    <t>s691'</t>
  </si>
  <si>
    <t>Dunn"s Test Results (Bonferroni-corrected p-values):</t>
  </si>
  <si>
    <t>s692'</t>
  </si>
  <si>
    <t>s696'</t>
  </si>
  <si>
    <t>s700'</t>
  </si>
  <si>
    <t>s702'</t>
  </si>
  <si>
    <t>s703'</t>
  </si>
  <si>
    <t>s706'</t>
  </si>
  <si>
    <t>s719'</t>
  </si>
  <si>
    <t>s720'</t>
  </si>
  <si>
    <t>s722'</t>
  </si>
  <si>
    <t>s723'</t>
  </si>
  <si>
    <t>s725'</t>
  </si>
  <si>
    <t>s726'</t>
  </si>
  <si>
    <t>s727'</t>
  </si>
  <si>
    <t>s732'</t>
  </si>
  <si>
    <t>s734'</t>
  </si>
  <si>
    <t>B555'</t>
  </si>
  <si>
    <t>B559'</t>
  </si>
  <si>
    <t>B566'</t>
  </si>
  <si>
    <t>B568'</t>
  </si>
  <si>
    <t>B554'</t>
  </si>
  <si>
    <t>B558'</t>
  </si>
  <si>
    <t>B569'</t>
  </si>
  <si>
    <t>B570'</t>
  </si>
  <si>
    <t>B723'</t>
  </si>
  <si>
    <t>B728'</t>
  </si>
  <si>
    <t>B733'</t>
  </si>
  <si>
    <t>B734'</t>
  </si>
  <si>
    <t>n19'</t>
  </si>
  <si>
    <t>n36'</t>
  </si>
  <si>
    <t>n40'</t>
  </si>
  <si>
    <t>n53'</t>
  </si>
  <si>
    <t>n1'</t>
  </si>
  <si>
    <t>n3'</t>
  </si>
  <si>
    <t>n5'</t>
  </si>
  <si>
    <t>n8'</t>
  </si>
  <si>
    <t>n12'</t>
  </si>
  <si>
    <t>n20'</t>
  </si>
  <si>
    <t>n25'</t>
  </si>
  <si>
    <t>n27'</t>
  </si>
  <si>
    <t>n35'</t>
  </si>
  <si>
    <t>n49'</t>
  </si>
  <si>
    <t>n52'</t>
  </si>
  <si>
    <t>n54'</t>
  </si>
  <si>
    <t>n92'</t>
  </si>
  <si>
    <t>n65'</t>
  </si>
  <si>
    <t>n87'</t>
  </si>
  <si>
    <t>n117'</t>
  </si>
  <si>
    <t>n126'</t>
  </si>
  <si>
    <t>n147'</t>
  </si>
  <si>
    <t>n149'</t>
  </si>
  <si>
    <t>n151'</t>
  </si>
  <si>
    <t>n167'</t>
  </si>
  <si>
    <t>n183'</t>
  </si>
  <si>
    <t>n191'</t>
  </si>
  <si>
    <t>n209'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</si>
</sst>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0"/>
      <color rgb="FFFF0000"/>
      <name val="Monaco"/>
      <charset val="134"/>
    </font>
    <font>
      <sz val="10"/>
      <color theme="1"/>
      <name val="微软雅黑"/>
      <charset val="134"/>
    </font>
    <font>
      <sz val="10"/>
      <color theme="1"/>
      <name val="Monaco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 wrapText="1"/>
    </xf>
    <xf numFmtId="0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667385</xdr:colOff>
      <xdr:row>47</xdr:row>
      <xdr:rowOff>114300</xdr:rowOff>
    </xdr:from>
    <xdr:to>
      <xdr:col>4</xdr:col>
      <xdr:colOff>629285</xdr:colOff>
      <xdr:row>52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7385" y="8826500"/>
          <a:ext cx="339725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565785</xdr:colOff>
      <xdr:row>69</xdr:row>
      <xdr:rowOff>107950</xdr:rowOff>
    </xdr:from>
    <xdr:to>
      <xdr:col>5</xdr:col>
      <xdr:colOff>483235</xdr:colOff>
      <xdr:row>85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5785" y="12852400"/>
          <a:ext cx="4406900" cy="297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647700</xdr:colOff>
      <xdr:row>53</xdr:row>
      <xdr:rowOff>101600</xdr:rowOff>
    </xdr:from>
    <xdr:to>
      <xdr:col>4</xdr:col>
      <xdr:colOff>838200</xdr:colOff>
      <xdr:row>66</xdr:row>
      <xdr:rowOff>24130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7700" y="9918700"/>
          <a:ext cx="3625850" cy="2297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552450</xdr:colOff>
      <xdr:row>3</xdr:row>
      <xdr:rowOff>171450</xdr:rowOff>
    </xdr:from>
    <xdr:to>
      <xdr:col>6</xdr:col>
      <xdr:colOff>177800</xdr:colOff>
      <xdr:row>9</xdr:row>
      <xdr:rowOff>6350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2450" y="704850"/>
          <a:ext cx="339725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450850</xdr:colOff>
      <xdr:row>25</xdr:row>
      <xdr:rowOff>152400</xdr:rowOff>
    </xdr:from>
    <xdr:to>
      <xdr:col>7</xdr:col>
      <xdr:colOff>457200</xdr:colOff>
      <xdr:row>42</xdr:row>
      <xdr:rowOff>107950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0850" y="4730750"/>
          <a:ext cx="4406900" cy="297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532765</xdr:colOff>
      <xdr:row>9</xdr:row>
      <xdr:rowOff>158750</xdr:rowOff>
    </xdr:from>
    <xdr:to>
      <xdr:col>6</xdr:col>
      <xdr:colOff>386715</xdr:colOff>
      <xdr:row>22</xdr:row>
      <xdr:rowOff>62230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2765" y="1797050"/>
          <a:ext cx="3625850" cy="2297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1"/>
  <sheetViews>
    <sheetView topLeftCell="A46" workbookViewId="0">
      <selection activeCell="F60" sqref="F60"/>
    </sheetView>
  </sheetViews>
  <sheetFormatPr defaultColWidth="9" defaultRowHeight="14.5"/>
  <cols>
    <col min="1" max="1" width="15.4545454545455" style="2" customWidth="1"/>
    <col min="2" max="2" width="14.4545454545455" style="3" customWidth="1"/>
    <col min="3" max="3" width="12.0909090909091" style="2" customWidth="1"/>
    <col min="4" max="4" width="7.18181818181818" style="2" customWidth="1"/>
    <col min="5" max="5" width="15.0909090909091" style="2" customWidth="1"/>
    <col min="6" max="6" width="12.0909090909091" style="2" customWidth="1"/>
    <col min="7" max="7" width="6.72727272727273" style="2" customWidth="1"/>
    <col min="8" max="8" width="14.1818181818182" style="2" customWidth="1"/>
    <col min="9" max="9" width="12.8181818181818" style="2" customWidth="1"/>
    <col min="10" max="10" width="6.36363636363636" style="2" customWidth="1"/>
    <col min="11" max="11" width="14.1818181818182" style="2" customWidth="1"/>
    <col min="12" max="12" width="13.0909090909091" style="2" customWidth="1"/>
    <col min="13" max="13" width="7.18181818181818" style="2" customWidth="1"/>
    <col min="14" max="14" width="13.3636363636364" style="2" customWidth="1"/>
    <col min="15" max="15" width="12.4545454545455" style="2" customWidth="1"/>
    <col min="16" max="16" width="6.45454545454545" style="2" customWidth="1"/>
    <col min="17" max="17" width="14.9090909090909" style="2" customWidth="1"/>
    <col min="18" max="20" width="9" style="2"/>
    <col min="21" max="21" width="21.7272727272727" style="2" customWidth="1"/>
    <col min="22" max="16384" width="9" style="2"/>
  </cols>
  <sheetData>
    <row r="1" s="2" customFormat="1" spans="1:21">
      <c r="A1" s="4" t="s">
        <v>0</v>
      </c>
      <c r="B1" s="5" t="s">
        <v>1</v>
      </c>
      <c r="D1" s="4" t="s">
        <v>2</v>
      </c>
      <c r="E1" s="5" t="s">
        <v>1</v>
      </c>
      <c r="G1" s="4" t="s">
        <v>3</v>
      </c>
      <c r="H1" s="4" t="s">
        <v>1</v>
      </c>
      <c r="J1" s="4" t="s">
        <v>4</v>
      </c>
      <c r="K1" s="4" t="s">
        <v>1</v>
      </c>
      <c r="M1" s="4" t="s">
        <v>5</v>
      </c>
      <c r="N1" s="4" t="s">
        <v>1</v>
      </c>
      <c r="P1" s="4" t="s">
        <v>6</v>
      </c>
      <c r="Q1" s="4" t="s">
        <v>1</v>
      </c>
      <c r="U1" s="4"/>
    </row>
    <row r="2" s="2" customFormat="1" spans="1:21">
      <c r="A2" s="18" t="s">
        <v>7</v>
      </c>
      <c r="B2" s="6">
        <v>0.089837792873978</v>
      </c>
      <c r="D2" s="18" t="s">
        <v>8</v>
      </c>
      <c r="E2" s="7">
        <v>0.270142180094787</v>
      </c>
      <c r="G2" s="18" t="s">
        <v>9</v>
      </c>
      <c r="H2" s="7">
        <v>0.15117994100295</v>
      </c>
      <c r="J2" s="18" t="s">
        <v>10</v>
      </c>
      <c r="K2" s="7">
        <v>0.251008064516129</v>
      </c>
      <c r="M2" s="18" t="s">
        <v>11</v>
      </c>
      <c r="N2" s="7">
        <v>0.306155333548179</v>
      </c>
      <c r="P2" s="18" t="s">
        <v>12</v>
      </c>
      <c r="Q2" s="13">
        <v>-0.280682321665928</v>
      </c>
      <c r="T2" s="4"/>
      <c r="U2" s="7"/>
    </row>
    <row r="3" s="2" customFormat="1" spans="1:21">
      <c r="A3" s="18" t="s">
        <v>13</v>
      </c>
      <c r="B3" s="6">
        <v>0.227848101265823</v>
      </c>
      <c r="D3" s="18" t="s">
        <v>14</v>
      </c>
      <c r="E3" s="7">
        <v>0.407490217998882</v>
      </c>
      <c r="G3" s="18" t="s">
        <v>15</v>
      </c>
      <c r="H3" s="7">
        <v>0.09</v>
      </c>
      <c r="J3" s="18" t="s">
        <v>16</v>
      </c>
      <c r="K3" s="8">
        <v>0.11543</v>
      </c>
      <c r="M3" s="18" t="s">
        <v>17</v>
      </c>
      <c r="N3" s="7">
        <v>0.324878048780488</v>
      </c>
      <c r="P3" s="18" t="s">
        <v>18</v>
      </c>
      <c r="Q3" s="7">
        <v>0.3905540417802</v>
      </c>
      <c r="T3" s="4"/>
      <c r="U3" s="8"/>
    </row>
    <row r="4" s="2" customFormat="1" spans="1:21">
      <c r="A4" s="18" t="s">
        <v>19</v>
      </c>
      <c r="B4" s="6">
        <v>0.211525423728814</v>
      </c>
      <c r="D4" s="18" t="s">
        <v>20</v>
      </c>
      <c r="E4" s="7">
        <v>0.154323725055432</v>
      </c>
      <c r="G4" s="18" t="s">
        <v>21</v>
      </c>
      <c r="H4" s="7">
        <v>0.44112285818447</v>
      </c>
      <c r="J4" s="18" t="s">
        <v>22</v>
      </c>
      <c r="K4" s="8">
        <v>0.01</v>
      </c>
      <c r="M4" s="18" t="s">
        <v>23</v>
      </c>
      <c r="N4" s="7">
        <v>0.184210526315789</v>
      </c>
      <c r="P4" s="18" t="s">
        <v>24</v>
      </c>
      <c r="Q4" s="7">
        <v>0.106291997556506</v>
      </c>
      <c r="T4" s="4"/>
      <c r="U4" s="8"/>
    </row>
    <row r="5" s="2" customFormat="1" spans="1:21">
      <c r="A5" s="18" t="s">
        <v>25</v>
      </c>
      <c r="B5" s="6">
        <v>0.289647774003218</v>
      </c>
      <c r="D5" s="18" t="s">
        <v>26</v>
      </c>
      <c r="E5" s="7">
        <v>0.209075422022611</v>
      </c>
      <c r="G5" s="18" t="s">
        <v>27</v>
      </c>
      <c r="H5" s="7">
        <v>0.185436071126164</v>
      </c>
      <c r="J5" s="18" t="s">
        <v>28</v>
      </c>
      <c r="K5" s="7">
        <v>0.1709726443769</v>
      </c>
      <c r="M5" s="18" t="s">
        <v>29</v>
      </c>
      <c r="N5" s="7">
        <v>0.373087678894555</v>
      </c>
      <c r="P5" s="18" t="s">
        <v>30</v>
      </c>
      <c r="Q5" s="7">
        <v>0.337828246983676</v>
      </c>
      <c r="T5" s="4"/>
      <c r="U5" s="7"/>
    </row>
    <row r="6" s="2" customFormat="1" spans="1:21">
      <c r="A6" s="18" t="s">
        <v>31</v>
      </c>
      <c r="B6" s="6">
        <v>0.256831546177793</v>
      </c>
      <c r="D6" s="18" t="s">
        <v>32</v>
      </c>
      <c r="E6" s="7">
        <v>0.223386520600143</v>
      </c>
      <c r="G6" s="18" t="s">
        <v>33</v>
      </c>
      <c r="H6" s="7">
        <v>0.351972750496736</v>
      </c>
      <c r="J6" s="18" t="s">
        <v>34</v>
      </c>
      <c r="K6" s="7">
        <v>0.200683811505872</v>
      </c>
      <c r="M6" s="18" t="s">
        <v>35</v>
      </c>
      <c r="N6" s="11">
        <v>0.303783</v>
      </c>
      <c r="P6" s="18" t="s">
        <v>36</v>
      </c>
      <c r="Q6" s="7">
        <v>0.403560830860534</v>
      </c>
      <c r="T6" s="4"/>
      <c r="U6" s="7"/>
    </row>
    <row r="7" s="2" customFormat="1" spans="1:21">
      <c r="A7" s="18" t="s">
        <v>37</v>
      </c>
      <c r="B7" s="6">
        <v>0.414973262032086</v>
      </c>
      <c r="D7" s="18" t="s">
        <v>38</v>
      </c>
      <c r="E7" s="7">
        <v>0.277380297193176</v>
      </c>
      <c r="G7" s="18" t="s">
        <v>39</v>
      </c>
      <c r="H7" s="7">
        <v>0.218303946263644</v>
      </c>
      <c r="J7" s="18" t="s">
        <v>40</v>
      </c>
      <c r="K7" s="12">
        <v>-0.26</v>
      </c>
      <c r="M7" s="18" t="s">
        <v>41</v>
      </c>
      <c r="N7" s="7">
        <v>0.348513011152416</v>
      </c>
      <c r="P7" s="18" t="s">
        <v>42</v>
      </c>
      <c r="Q7" s="7">
        <v>0.357082984073764</v>
      </c>
      <c r="T7" s="4"/>
      <c r="U7" s="12"/>
    </row>
    <row r="8" s="2" customFormat="1" spans="1:21">
      <c r="A8" s="18" t="s">
        <v>43</v>
      </c>
      <c r="B8" s="6">
        <v>0.123864574731627</v>
      </c>
      <c r="D8" s="18" t="s">
        <v>44</v>
      </c>
      <c r="E8" s="7">
        <v>0.352322524101665</v>
      </c>
      <c r="G8" s="18" t="s">
        <v>45</v>
      </c>
      <c r="H8" s="7">
        <v>0.31563126252505</v>
      </c>
      <c r="J8" s="18" t="s">
        <v>46</v>
      </c>
      <c r="K8" s="7">
        <v>0.231348391512662</v>
      </c>
      <c r="M8" s="18" t="s">
        <v>47</v>
      </c>
      <c r="N8" s="7">
        <v>0.207033842070338</v>
      </c>
      <c r="P8" s="18" t="s">
        <v>48</v>
      </c>
      <c r="Q8" s="7">
        <v>0.302773246329527</v>
      </c>
      <c r="T8" s="4"/>
      <c r="U8" s="7"/>
    </row>
    <row r="9" s="2" customFormat="1" spans="1:21">
      <c r="A9" s="18" t="s">
        <v>49</v>
      </c>
      <c r="B9" s="6">
        <v>0.146579804560261</v>
      </c>
      <c r="D9" s="18" t="s">
        <v>50</v>
      </c>
      <c r="E9" s="2" t="s">
        <v>51</v>
      </c>
      <c r="G9" s="18" t="s">
        <v>52</v>
      </c>
      <c r="H9" s="7">
        <v>0.387972325705162</v>
      </c>
      <c r="J9" s="18" t="s">
        <v>53</v>
      </c>
      <c r="K9" s="7">
        <v>0.158897320737184</v>
      </c>
      <c r="M9" s="18" t="s">
        <v>54</v>
      </c>
      <c r="N9" s="7">
        <v>0.433345921450151</v>
      </c>
      <c r="P9" s="18" t="s">
        <v>55</v>
      </c>
      <c r="Q9" s="7">
        <v>0.42753036437247</v>
      </c>
      <c r="T9" s="4"/>
      <c r="U9" s="7"/>
    </row>
    <row r="10" s="2" customFormat="1" spans="1:21">
      <c r="A10" s="18" t="s">
        <v>56</v>
      </c>
      <c r="B10" s="3">
        <v>-0.009525429494812</v>
      </c>
      <c r="D10" s="18" t="s">
        <v>57</v>
      </c>
      <c r="E10" s="7">
        <v>0.178194297782471</v>
      </c>
      <c r="G10" s="18" t="s">
        <v>58</v>
      </c>
      <c r="H10" s="7">
        <v>0.389305816135084</v>
      </c>
      <c r="J10" s="18" t="s">
        <v>59</v>
      </c>
      <c r="K10" s="8">
        <v>-0.024242</v>
      </c>
      <c r="M10" s="18" t="s">
        <v>60</v>
      </c>
      <c r="N10" s="7">
        <v>0.352567915923062</v>
      </c>
      <c r="P10" s="18" t="s">
        <v>61</v>
      </c>
      <c r="Q10" s="11">
        <v>0.255744</v>
      </c>
      <c r="T10" s="4"/>
      <c r="U10" s="8"/>
    </row>
    <row r="11" s="2" customFormat="1" spans="1:21">
      <c r="A11" s="18" t="s">
        <v>62</v>
      </c>
      <c r="B11" s="6">
        <v>0.21757602862254</v>
      </c>
      <c r="D11" s="18" t="s">
        <v>63</v>
      </c>
      <c r="E11" s="7">
        <v>0.266352600108715</v>
      </c>
      <c r="G11" s="18" t="s">
        <v>64</v>
      </c>
      <c r="H11" s="7">
        <v>0.248104755341144</v>
      </c>
      <c r="J11" s="18" t="s">
        <v>65</v>
      </c>
      <c r="K11" s="7">
        <v>0.173973556019485</v>
      </c>
      <c r="M11" s="18" t="s">
        <v>66</v>
      </c>
      <c r="N11" s="7">
        <v>0.326887661141805</v>
      </c>
      <c r="P11" s="18" t="s">
        <v>67</v>
      </c>
      <c r="Q11" s="7">
        <v>0.214129643117262</v>
      </c>
      <c r="T11" s="4"/>
      <c r="U11" s="7"/>
    </row>
    <row r="12" s="2" customFormat="1" spans="1:21">
      <c r="A12" s="18" t="s">
        <v>68</v>
      </c>
      <c r="B12" s="6">
        <v>0.283318425760286</v>
      </c>
      <c r="D12" s="18" t="s">
        <v>69</v>
      </c>
      <c r="E12" s="7">
        <v>0.325962325962326</v>
      </c>
      <c r="G12" s="18" t="s">
        <v>70</v>
      </c>
      <c r="H12" s="7">
        <v>0.060947562097516</v>
      </c>
      <c r="J12" s="18" t="s">
        <v>71</v>
      </c>
      <c r="K12" s="7">
        <v>0.189925681255161</v>
      </c>
      <c r="M12" s="18" t="s">
        <v>72</v>
      </c>
      <c r="N12" s="7">
        <v>0.214445271779598</v>
      </c>
      <c r="P12" s="18" t="s">
        <v>73</v>
      </c>
      <c r="Q12" s="7">
        <v>0.405639431616341</v>
      </c>
      <c r="T12" s="4"/>
      <c r="U12" s="7"/>
    </row>
    <row r="13" s="2" customFormat="1" spans="1:21">
      <c r="A13" s="18" t="s">
        <v>74</v>
      </c>
      <c r="B13" s="6">
        <v>0.161311475409836</v>
      </c>
      <c r="D13" s="18" t="s">
        <v>75</v>
      </c>
      <c r="E13" s="7">
        <v>0.160514888337469</v>
      </c>
      <c r="G13" s="18" t="s">
        <v>76</v>
      </c>
      <c r="H13" s="7">
        <v>0.299586776859504</v>
      </c>
      <c r="J13" s="18" t="s">
        <v>77</v>
      </c>
      <c r="K13" s="7">
        <v>0.183574879227053</v>
      </c>
      <c r="M13" s="18" t="s">
        <v>78</v>
      </c>
      <c r="N13" s="7">
        <v>0.264092664092664</v>
      </c>
      <c r="P13" s="18" t="s">
        <v>79</v>
      </c>
      <c r="Q13" s="7">
        <v>0.197163947163947</v>
      </c>
      <c r="T13" s="4"/>
      <c r="U13" s="7"/>
    </row>
    <row r="14" s="2" customFormat="1" spans="1:21">
      <c r="A14" s="18" t="s">
        <v>80</v>
      </c>
      <c r="B14" s="6">
        <v>0.200193423597679</v>
      </c>
      <c r="D14" s="18" t="s">
        <v>81</v>
      </c>
      <c r="E14" s="7">
        <v>0.342477140482128</v>
      </c>
      <c r="G14" s="18" t="s">
        <v>82</v>
      </c>
      <c r="H14" s="8">
        <v>0.393457</v>
      </c>
      <c r="J14" s="18" t="s">
        <v>83</v>
      </c>
      <c r="K14" s="8">
        <v>0.06537</v>
      </c>
      <c r="M14" s="18" t="s">
        <v>84</v>
      </c>
      <c r="N14" s="7">
        <v>0.190916089299461</v>
      </c>
      <c r="P14" s="18" t="s">
        <v>85</v>
      </c>
      <c r="Q14" s="7">
        <v>0.370903277378098</v>
      </c>
      <c r="T14" s="4"/>
      <c r="U14" s="8"/>
    </row>
    <row r="15" s="2" customFormat="1" spans="1:21">
      <c r="A15" s="18" t="s">
        <v>86</v>
      </c>
      <c r="B15" s="6">
        <v>0.138473053892216</v>
      </c>
      <c r="D15" s="18" t="s">
        <v>87</v>
      </c>
      <c r="E15" s="7">
        <v>0.289039039039039</v>
      </c>
      <c r="G15" s="18" t="s">
        <v>88</v>
      </c>
      <c r="H15" s="8">
        <v>0.420904</v>
      </c>
      <c r="J15" s="18" t="s">
        <v>89</v>
      </c>
      <c r="K15" s="8">
        <v>-0.011548</v>
      </c>
      <c r="M15" s="18" t="s">
        <v>90</v>
      </c>
      <c r="N15" s="11">
        <v>-0.056014</v>
      </c>
      <c r="T15" s="4"/>
      <c r="U15" s="8"/>
    </row>
    <row r="16" s="2" customFormat="1" spans="1:21">
      <c r="A16" s="18" t="s">
        <v>91</v>
      </c>
      <c r="B16" s="6">
        <v>0.288715192965315</v>
      </c>
      <c r="D16" s="18" t="s">
        <v>92</v>
      </c>
      <c r="E16" s="7">
        <v>0.320943690184732</v>
      </c>
      <c r="G16" s="18" t="s">
        <v>93</v>
      </c>
      <c r="H16" s="7">
        <v>0.252390057361377</v>
      </c>
      <c r="J16" s="18" t="s">
        <v>94</v>
      </c>
      <c r="K16" s="7">
        <v>0.117358384744812</v>
      </c>
      <c r="M16" s="18" t="s">
        <v>95</v>
      </c>
      <c r="N16" s="11">
        <v>0.181498</v>
      </c>
      <c r="T16" s="4"/>
      <c r="U16" s="7"/>
    </row>
    <row r="17" s="2" customFormat="1" spans="1:21">
      <c r="A17" s="18" t="s">
        <v>96</v>
      </c>
      <c r="B17" s="6">
        <v>0.239585133967156</v>
      </c>
      <c r="D17" s="18" t="s">
        <v>97</v>
      </c>
      <c r="E17" s="7">
        <v>0.284910153712925</v>
      </c>
      <c r="G17" s="18" t="s">
        <v>98</v>
      </c>
      <c r="H17" s="8">
        <v>0.301648</v>
      </c>
      <c r="J17" s="18" t="s">
        <v>99</v>
      </c>
      <c r="K17" s="7">
        <v>0.166571018651363</v>
      </c>
      <c r="M17" s="18" t="s">
        <v>100</v>
      </c>
      <c r="N17" s="7">
        <v>0.28921885087153</v>
      </c>
      <c r="T17" s="4"/>
      <c r="U17" s="7"/>
    </row>
    <row r="18" s="2" customFormat="1" spans="1:21">
      <c r="A18" s="18" t="s">
        <v>101</v>
      </c>
      <c r="B18" s="6">
        <v>0.170313424009462</v>
      </c>
      <c r="D18" s="18" t="s">
        <v>102</v>
      </c>
      <c r="E18" s="7">
        <v>0.315031503150315</v>
      </c>
      <c r="G18" s="18" t="s">
        <v>103</v>
      </c>
      <c r="H18" s="7">
        <v>0.306224899598393</v>
      </c>
      <c r="J18" s="18" t="s">
        <v>104</v>
      </c>
      <c r="K18" s="8">
        <v>-0.032572</v>
      </c>
      <c r="M18" s="18" t="s">
        <v>105</v>
      </c>
      <c r="N18" s="7">
        <v>0.225043277553376</v>
      </c>
      <c r="T18" s="4"/>
      <c r="U18" s="8"/>
    </row>
    <row r="19" s="2" customFormat="1" spans="1:21">
      <c r="A19" s="18" t="s">
        <v>106</v>
      </c>
      <c r="B19" s="6">
        <v>0.347024308466052</v>
      </c>
      <c r="D19" s="18" t="s">
        <v>107</v>
      </c>
      <c r="E19" s="7">
        <v>0.170242214532872</v>
      </c>
      <c r="G19" s="18" t="s">
        <v>108</v>
      </c>
      <c r="H19" s="3">
        <v>0.24</v>
      </c>
      <c r="J19" s="18" t="s">
        <v>109</v>
      </c>
      <c r="K19" s="7">
        <v>0.117729502452698</v>
      </c>
      <c r="N19" s="13"/>
      <c r="T19" s="4"/>
      <c r="U19" s="7"/>
    </row>
    <row r="20" s="2" customFormat="1" spans="1:21">
      <c r="A20" s="18" t="s">
        <v>110</v>
      </c>
      <c r="B20" s="6">
        <v>0.101691798455314</v>
      </c>
      <c r="D20" s="18" t="s">
        <v>111</v>
      </c>
      <c r="E20" s="7">
        <v>0.131237183868763</v>
      </c>
      <c r="G20" s="18" t="s">
        <v>112</v>
      </c>
      <c r="H20" s="7">
        <v>0.20223362511319</v>
      </c>
      <c r="J20" s="18" t="s">
        <v>113</v>
      </c>
      <c r="K20" s="8">
        <v>0.170894</v>
      </c>
      <c r="N20" s="13"/>
      <c r="T20" s="4"/>
      <c r="U20" s="8"/>
    </row>
    <row r="21" s="2" customFormat="1" spans="1:21">
      <c r="A21" s="18" t="s">
        <v>114</v>
      </c>
      <c r="B21" s="6">
        <v>0.00430504305043</v>
      </c>
      <c r="D21" s="18" t="s">
        <v>115</v>
      </c>
      <c r="E21" s="7">
        <v>0.251666395708015</v>
      </c>
      <c r="G21" s="18" t="s">
        <v>116</v>
      </c>
      <c r="H21" s="7">
        <v>0.259365994236311</v>
      </c>
      <c r="J21" s="18" t="s">
        <v>117</v>
      </c>
      <c r="K21" s="8">
        <v>-0.071974</v>
      </c>
      <c r="N21" s="13"/>
      <c r="T21" s="4"/>
      <c r="U21" s="8"/>
    </row>
    <row r="22" s="2" customFormat="1" spans="1:21">
      <c r="A22" s="18" t="s">
        <v>118</v>
      </c>
      <c r="B22" s="6">
        <v>0.128952569169961</v>
      </c>
      <c r="D22" s="18" t="s">
        <v>119</v>
      </c>
      <c r="E22" s="7">
        <v>0.350060096153846</v>
      </c>
      <c r="G22" s="18" t="s">
        <v>120</v>
      </c>
      <c r="H22" s="7">
        <v>0.32657031684269</v>
      </c>
      <c r="J22" s="18" t="s">
        <v>121</v>
      </c>
      <c r="K22" s="7">
        <v>0.088408644400786</v>
      </c>
      <c r="N22" s="13"/>
      <c r="T22" s="4"/>
      <c r="U22" s="7"/>
    </row>
    <row r="23" s="2" customFormat="1" spans="1:21">
      <c r="A23" s="18" t="s">
        <v>122</v>
      </c>
      <c r="B23" s="6">
        <v>0.296737318409145</v>
      </c>
      <c r="D23" s="18" t="s">
        <v>123</v>
      </c>
      <c r="E23" s="7">
        <v>0.423889684813754</v>
      </c>
      <c r="G23" s="18" t="s">
        <v>124</v>
      </c>
      <c r="H23" s="7">
        <v>0.30945558739255</v>
      </c>
      <c r="J23" s="18" t="s">
        <v>125</v>
      </c>
      <c r="K23" s="8">
        <v>-0.07888</v>
      </c>
      <c r="N23" s="13"/>
      <c r="T23" s="4"/>
      <c r="U23" s="8"/>
    </row>
    <row r="24" s="2" customFormat="1" spans="1:21">
      <c r="A24" s="18" t="s">
        <v>126</v>
      </c>
      <c r="B24" s="6">
        <v>0.191372549019608</v>
      </c>
      <c r="G24" s="18" t="s">
        <v>127</v>
      </c>
      <c r="H24" s="7">
        <v>0.228347689898199</v>
      </c>
      <c r="J24" s="18" t="s">
        <v>128</v>
      </c>
      <c r="K24" s="8">
        <v>-0.268492</v>
      </c>
      <c r="N24" s="13"/>
      <c r="T24" s="4"/>
      <c r="U24" s="8"/>
    </row>
    <row r="25" s="2" customFormat="1" spans="1:21">
      <c r="A25" s="18" t="s">
        <v>129</v>
      </c>
      <c r="B25" s="6">
        <v>0.104968509447166</v>
      </c>
      <c r="G25" s="18" t="s">
        <v>130</v>
      </c>
      <c r="H25" s="7">
        <v>0.111313566340898</v>
      </c>
      <c r="J25" s="18" t="s">
        <v>131</v>
      </c>
      <c r="K25" s="8">
        <v>-0.013</v>
      </c>
      <c r="N25" s="13"/>
      <c r="T25" s="4"/>
      <c r="U25" s="8"/>
    </row>
    <row r="26" s="2" customFormat="1" spans="1:21">
      <c r="A26" s="18" t="s">
        <v>132</v>
      </c>
      <c r="B26" s="6">
        <v>0.433181403828623</v>
      </c>
      <c r="G26" s="18" t="s">
        <v>133</v>
      </c>
      <c r="H26" s="7">
        <v>0.08611326609775</v>
      </c>
      <c r="J26" s="18" t="s">
        <v>134</v>
      </c>
      <c r="K26" s="7">
        <v>0.153586497890295</v>
      </c>
      <c r="N26" s="13"/>
      <c r="T26" s="4"/>
      <c r="U26" s="7"/>
    </row>
    <row r="27" s="2" customFormat="1" spans="1:21">
      <c r="A27" s="18" t="s">
        <v>135</v>
      </c>
      <c r="B27" s="6">
        <v>0.268018018018018</v>
      </c>
      <c r="G27" s="18" t="s">
        <v>136</v>
      </c>
      <c r="H27" s="7">
        <v>0.15676028739386</v>
      </c>
      <c r="J27" s="18" t="s">
        <v>137</v>
      </c>
      <c r="K27" s="7">
        <v>0.054147181885306</v>
      </c>
      <c r="N27" s="13"/>
      <c r="T27" s="4"/>
      <c r="U27" s="7"/>
    </row>
    <row r="28" s="2" customFormat="1" spans="1:21">
      <c r="A28" s="18" t="s">
        <v>138</v>
      </c>
      <c r="B28" s="6">
        <v>0.440525463379521</v>
      </c>
      <c r="G28" s="18" t="s">
        <v>139</v>
      </c>
      <c r="H28" s="7">
        <v>0.245202193283071</v>
      </c>
      <c r="J28" s="18" t="s">
        <v>140</v>
      </c>
      <c r="K28" s="7">
        <v>0.111028867505551</v>
      </c>
      <c r="N28" s="13"/>
      <c r="T28" s="4"/>
      <c r="U28" s="7"/>
    </row>
    <row r="29" s="2" customFormat="1" spans="1:21">
      <c r="A29" s="18" t="s">
        <v>141</v>
      </c>
      <c r="B29" s="6">
        <v>0.416896235078053</v>
      </c>
      <c r="G29" s="18" t="s">
        <v>142</v>
      </c>
      <c r="H29" s="7">
        <v>0.236663433559651</v>
      </c>
      <c r="J29" s="18" t="s">
        <v>143</v>
      </c>
      <c r="K29" s="7">
        <v>0.126970954356847</v>
      </c>
      <c r="N29" s="13"/>
      <c r="T29" s="4"/>
      <c r="U29" s="7"/>
    </row>
    <row r="30" s="2" customFormat="1" spans="1:21">
      <c r="A30" s="18" t="s">
        <v>144</v>
      </c>
      <c r="B30" s="6">
        <v>0.370196078431373</v>
      </c>
      <c r="G30" s="18" t="s">
        <v>145</v>
      </c>
      <c r="H30" s="7">
        <v>0.16675560298826</v>
      </c>
      <c r="J30" s="18" t="s">
        <v>146</v>
      </c>
      <c r="K30" s="7">
        <v>0.154955793392275</v>
      </c>
      <c r="N30" s="13"/>
      <c r="T30" s="4"/>
      <c r="U30" s="7"/>
    </row>
    <row r="31" s="2" customFormat="1" spans="1:14">
      <c r="A31" s="18" t="s">
        <v>147</v>
      </c>
      <c r="B31" s="6">
        <v>0.402501713502399</v>
      </c>
      <c r="G31" s="18" t="s">
        <v>148</v>
      </c>
      <c r="H31" s="7">
        <v>0.406905761159863</v>
      </c>
      <c r="N31" s="13"/>
    </row>
    <row r="32" s="2" customFormat="1" spans="2:14">
      <c r="B32" s="3"/>
      <c r="G32" s="18" t="s">
        <v>149</v>
      </c>
      <c r="H32" s="7">
        <v>0.329366177691669</v>
      </c>
      <c r="N32" s="13"/>
    </row>
    <row r="33" s="2" customFormat="1" spans="2:14">
      <c r="B33" s="3"/>
      <c r="G33" s="18" t="s">
        <v>150</v>
      </c>
      <c r="H33" s="7">
        <v>0.09616145627226</v>
      </c>
      <c r="N33" s="13"/>
    </row>
    <row r="34" s="2" customFormat="1" spans="2:14">
      <c r="B34" s="3"/>
      <c r="G34" s="18" t="s">
        <v>151</v>
      </c>
      <c r="H34" s="7">
        <v>0.280773143438454</v>
      </c>
      <c r="N34" s="13"/>
    </row>
    <row r="35" s="2" customFormat="1" spans="2:14">
      <c r="B35" s="3"/>
      <c r="G35" s="18" t="s">
        <v>152</v>
      </c>
      <c r="H35" s="7">
        <v>0.239905362776025</v>
      </c>
      <c r="N35" s="13"/>
    </row>
    <row r="36" s="2" customFormat="1" spans="2:8">
      <c r="B36" s="3"/>
      <c r="G36" s="18" t="s">
        <v>153</v>
      </c>
      <c r="H36" s="7">
        <v>0.100171023698998</v>
      </c>
    </row>
    <row r="37" s="2" customFormat="1" spans="2:14">
      <c r="B37" s="3"/>
      <c r="G37" s="18" t="s">
        <v>154</v>
      </c>
      <c r="H37" s="4" t="s">
        <v>51</v>
      </c>
      <c r="I37" s="4"/>
      <c r="N37" s="13"/>
    </row>
    <row r="38" s="2" customFormat="1" spans="2:14">
      <c r="B38" s="3"/>
      <c r="G38" s="18" t="s">
        <v>155</v>
      </c>
      <c r="H38" s="8">
        <v>0.365254</v>
      </c>
      <c r="N38" s="13"/>
    </row>
    <row r="39" s="2" customFormat="1" spans="1:21">
      <c r="A39" s="9" t="s">
        <v>156</v>
      </c>
      <c r="B39" s="10">
        <f>AVERAGE(B2:B32)</f>
        <v>0.231914667211965</v>
      </c>
      <c r="D39" s="9" t="s">
        <v>156</v>
      </c>
      <c r="E39" s="10">
        <f>AVERAGE(E2:E32)</f>
        <v>0.271649623852575</v>
      </c>
      <c r="G39" s="18" t="s">
        <v>157</v>
      </c>
      <c r="H39" s="7">
        <v>0.16890924706556</v>
      </c>
      <c r="J39" s="9" t="s">
        <v>156</v>
      </c>
      <c r="K39" s="10">
        <f>AVERAGE(K2:K32)</f>
        <v>0.0776595584286338</v>
      </c>
      <c r="M39" s="9" t="s">
        <v>156</v>
      </c>
      <c r="N39" s="10">
        <f>AVERAGE(N2:N32)</f>
        <v>0.262921358404318</v>
      </c>
      <c r="P39" s="9" t="s">
        <v>156</v>
      </c>
      <c r="Q39" s="10">
        <f>AVERAGE(Q2:Q32)</f>
        <v>0.268347668428184</v>
      </c>
      <c r="U39" s="3"/>
    </row>
    <row r="40" s="2" customFormat="1" spans="1:17">
      <c r="A40" s="9" t="s">
        <v>158</v>
      </c>
      <c r="B40" s="9">
        <f>STDEV(B2:B31)</f>
        <v>0.123501985983535</v>
      </c>
      <c r="D40" s="9" t="s">
        <v>158</v>
      </c>
      <c r="E40" s="9">
        <f>STDEV(E2:E31)</f>
        <v>0.0832463883266612</v>
      </c>
      <c r="G40" s="18" t="s">
        <v>159</v>
      </c>
      <c r="H40" s="7">
        <v>0.24978466838932</v>
      </c>
      <c r="J40" s="9" t="s">
        <v>158</v>
      </c>
      <c r="K40" s="9">
        <f>STDEV(K2:K31)</f>
        <v>0.130731432623856</v>
      </c>
      <c r="M40" s="9" t="s">
        <v>158</v>
      </c>
      <c r="N40" s="9">
        <f>STDEV(N2:N31)</f>
        <v>0.110494191141847</v>
      </c>
      <c r="P40" s="9" t="s">
        <v>158</v>
      </c>
      <c r="Q40" s="9">
        <f>STDEV(Q2:Q31)</f>
        <v>0.190977960262907</v>
      </c>
    </row>
    <row r="41" s="2" customFormat="1" spans="1:17">
      <c r="A41" s="9" t="s">
        <v>160</v>
      </c>
      <c r="B41" s="9">
        <f>B40/SQRT(COUNT(B2:B31))</f>
        <v>0.0225482745399562</v>
      </c>
      <c r="D41" s="9" t="s">
        <v>160</v>
      </c>
      <c r="E41" s="9">
        <f>E40/SQRT(COUNT(E2:E31))</f>
        <v>0.0181658512304102</v>
      </c>
      <c r="G41" s="18" t="s">
        <v>161</v>
      </c>
      <c r="H41" s="7">
        <v>0.106882406563355</v>
      </c>
      <c r="J41" s="9" t="s">
        <v>160</v>
      </c>
      <c r="K41" s="9">
        <f>K40/SQRT(COUNT(K2:K31))</f>
        <v>0.0242762175914575</v>
      </c>
      <c r="M41" s="9" t="s">
        <v>160</v>
      </c>
      <c r="N41" s="9">
        <f>N40/SQRT(COUNT(N2:N31))</f>
        <v>0.026798777711472</v>
      </c>
      <c r="P41" s="9" t="s">
        <v>160</v>
      </c>
      <c r="Q41" s="9">
        <f>Q40/SQRT(COUNT(Q2:Q31))</f>
        <v>0.0529677560162644</v>
      </c>
    </row>
    <row r="42" s="2" customFormat="1" spans="2:14">
      <c r="B42" s="3"/>
      <c r="G42" s="18" t="s">
        <v>162</v>
      </c>
      <c r="H42" s="7">
        <v>0.425430210325048</v>
      </c>
      <c r="N42" s="13"/>
    </row>
    <row r="43" s="2" customFormat="1" spans="2:14">
      <c r="B43" s="3"/>
      <c r="G43" s="18" t="s">
        <v>163</v>
      </c>
      <c r="H43" s="7">
        <v>0.243380281690141</v>
      </c>
      <c r="N43" s="13"/>
    </row>
    <row r="44" s="2" customFormat="1" spans="2:14">
      <c r="B44" s="3"/>
      <c r="G44" s="18" t="s">
        <v>164</v>
      </c>
      <c r="H44" s="7">
        <v>0.361765682044474</v>
      </c>
      <c r="N44" s="13"/>
    </row>
    <row r="45" s="2" customFormat="1" spans="2:8">
      <c r="B45" s="3"/>
      <c r="G45" s="18" t="s">
        <v>165</v>
      </c>
      <c r="H45" s="7">
        <v>0.19485903814262</v>
      </c>
    </row>
    <row r="46" s="2" customFormat="1" spans="2:14">
      <c r="B46" s="3"/>
      <c r="G46" s="18" t="s">
        <v>166</v>
      </c>
      <c r="H46" s="7">
        <v>0.384014423076923</v>
      </c>
      <c r="N46" s="13"/>
    </row>
    <row r="47" s="2" customFormat="1" ht="19" customHeight="1" spans="1:14">
      <c r="A47" s="1" t="s">
        <v>167</v>
      </c>
      <c r="B47" s="3"/>
      <c r="G47" s="18" t="s">
        <v>168</v>
      </c>
      <c r="H47" s="7">
        <v>0.197022767075307</v>
      </c>
      <c r="N47" s="13"/>
    </row>
    <row r="48" s="2" customFormat="1" spans="2:14">
      <c r="B48" s="3"/>
      <c r="G48" s="18" t="s">
        <v>169</v>
      </c>
      <c r="H48" s="7">
        <v>0.29768467475193</v>
      </c>
      <c r="N48" s="13"/>
    </row>
    <row r="49" s="2" customFormat="1" spans="2:8">
      <c r="B49" s="3"/>
      <c r="G49" s="18" t="s">
        <v>170</v>
      </c>
      <c r="H49" s="7">
        <v>0.223727299791605</v>
      </c>
    </row>
    <row r="50" s="2" customFormat="1" spans="2:8">
      <c r="B50" s="3"/>
      <c r="G50" s="18" t="s">
        <v>171</v>
      </c>
      <c r="H50" s="7">
        <v>0.269789504891788</v>
      </c>
    </row>
    <row r="51" s="2" customFormat="1" spans="2:8">
      <c r="B51" s="3"/>
      <c r="G51" s="18" t="s">
        <v>172</v>
      </c>
      <c r="H51" s="7">
        <v>0.296710248840152</v>
      </c>
    </row>
    <row r="52" s="2" customFormat="1" spans="2:8">
      <c r="B52" s="3"/>
      <c r="G52" s="18" t="s">
        <v>173</v>
      </c>
      <c r="H52" s="7">
        <v>0.320126069338136</v>
      </c>
    </row>
    <row r="53" s="2" customFormat="1" spans="2:8">
      <c r="B53" s="3"/>
      <c r="G53" s="18" t="s">
        <v>174</v>
      </c>
      <c r="H53" s="7">
        <v>0.351808828410222</v>
      </c>
    </row>
    <row r="54" s="2" customFormat="1" spans="2:8">
      <c r="B54" s="3"/>
      <c r="G54" s="18" t="s">
        <v>175</v>
      </c>
      <c r="H54" s="7">
        <v>0.3281677301732</v>
      </c>
    </row>
    <row r="55" s="2" customFormat="1" ht="13" customHeight="1" spans="2:8">
      <c r="B55" s="3"/>
      <c r="G55" s="18" t="s">
        <v>176</v>
      </c>
      <c r="H55" s="7">
        <v>0.310587515299878</v>
      </c>
    </row>
    <row r="56" s="2" customFormat="1" spans="2:8">
      <c r="B56" s="3"/>
      <c r="G56" s="18" t="s">
        <v>177</v>
      </c>
      <c r="H56" s="7">
        <v>0.175661688599734</v>
      </c>
    </row>
    <row r="57" s="2" customFormat="1" spans="2:11">
      <c r="B57" s="3"/>
      <c r="G57" s="18" t="s">
        <v>178</v>
      </c>
      <c r="H57" s="7">
        <v>0.301078490113841</v>
      </c>
      <c r="K57" s="8"/>
    </row>
    <row r="58" s="2" customFormat="1" spans="2:8">
      <c r="B58" s="3"/>
      <c r="G58" s="18" t="s">
        <v>179</v>
      </c>
      <c r="H58" s="7">
        <v>0.283687943262411</v>
      </c>
    </row>
    <row r="59" s="2" customFormat="1" spans="2:8">
      <c r="B59" s="3"/>
      <c r="G59" s="18" t="s">
        <v>180</v>
      </c>
      <c r="H59" s="7">
        <v>0.236120514556533</v>
      </c>
    </row>
    <row r="60" s="2" customFormat="1" spans="2:11">
      <c r="B60" s="3"/>
      <c r="G60" s="18" t="s">
        <v>181</v>
      </c>
      <c r="H60" s="7">
        <v>0.448814452389913</v>
      </c>
      <c r="K60" s="8"/>
    </row>
    <row r="61" s="2" customFormat="1" spans="2:8">
      <c r="B61" s="3"/>
      <c r="G61" s="18" t="s">
        <v>182</v>
      </c>
      <c r="H61" s="7">
        <v>0.30639431616341</v>
      </c>
    </row>
    <row r="62" s="2" customFormat="1" spans="2:8">
      <c r="B62" s="3"/>
      <c r="G62" s="18" t="s">
        <v>183</v>
      </c>
      <c r="H62" s="7">
        <v>0.221016410799365</v>
      </c>
    </row>
    <row r="63" s="2" customFormat="1" spans="2:8">
      <c r="B63" s="3"/>
      <c r="G63" s="18" t="s">
        <v>184</v>
      </c>
      <c r="H63" s="7">
        <v>0.227938342967245</v>
      </c>
    </row>
    <row r="64" s="2" customFormat="1" spans="2:8">
      <c r="B64" s="3"/>
      <c r="G64" s="18" t="s">
        <v>185</v>
      </c>
      <c r="H64" s="7">
        <v>0.185271876125315</v>
      </c>
    </row>
    <row r="65" s="2" customFormat="1" spans="2:8">
      <c r="B65" s="3"/>
      <c r="G65" s="18" t="s">
        <v>186</v>
      </c>
      <c r="H65" s="7">
        <v>0.210653753026634</v>
      </c>
    </row>
    <row r="66" s="2" customFormat="1" spans="2:8">
      <c r="B66" s="3"/>
      <c r="G66" s="18" t="s">
        <v>187</v>
      </c>
      <c r="H66" s="7">
        <v>0.036743515850144</v>
      </c>
    </row>
    <row r="67" s="2" customFormat="1" spans="2:8">
      <c r="B67" s="3"/>
      <c r="G67" s="18" t="s">
        <v>188</v>
      </c>
      <c r="H67" s="7">
        <v>0.289655172413793</v>
      </c>
    </row>
    <row r="68" s="2" customFormat="1" spans="2:8">
      <c r="B68" s="3"/>
      <c r="G68" s="18" t="s">
        <v>189</v>
      </c>
      <c r="H68" s="7">
        <v>0.150675520952599</v>
      </c>
    </row>
    <row r="69" s="2" customFormat="1" spans="1:8">
      <c r="A69" s="1" t="s">
        <v>190</v>
      </c>
      <c r="B69" s="3"/>
      <c r="G69" s="18" t="s">
        <v>191</v>
      </c>
      <c r="H69" s="7">
        <v>0.431728350700683</v>
      </c>
    </row>
    <row r="70" s="2" customFormat="1" spans="2:8">
      <c r="B70" s="3"/>
      <c r="G70" s="18" t="s">
        <v>192</v>
      </c>
      <c r="H70" s="7">
        <v>0.217449306296692</v>
      </c>
    </row>
    <row r="71" s="2" customFormat="1" spans="2:8">
      <c r="B71" s="3"/>
      <c r="G71" s="18" t="s">
        <v>193</v>
      </c>
      <c r="H71" s="7">
        <v>0.18230673832162</v>
      </c>
    </row>
    <row r="72" s="2" customFormat="1" spans="2:8">
      <c r="B72" s="3"/>
      <c r="G72" s="18" t="s">
        <v>194</v>
      </c>
      <c r="H72" s="7">
        <v>0.060336763330215</v>
      </c>
    </row>
    <row r="73" s="2" customFormat="1" spans="2:8">
      <c r="B73" s="3"/>
      <c r="G73" s="18" t="s">
        <v>195</v>
      </c>
      <c r="H73" s="7">
        <v>0.331618257261411</v>
      </c>
    </row>
    <row r="74" s="2" customFormat="1" spans="2:8">
      <c r="B74" s="3"/>
      <c r="G74" s="18" t="s">
        <v>196</v>
      </c>
      <c r="H74" s="7">
        <v>0.050464989059081</v>
      </c>
    </row>
    <row r="75" s="2" customFormat="1" spans="2:8">
      <c r="B75" s="3"/>
      <c r="G75" s="18" t="s">
        <v>197</v>
      </c>
      <c r="H75" s="7">
        <v>0.062465977136636</v>
      </c>
    </row>
    <row r="76" s="2" customFormat="1" spans="2:8">
      <c r="B76" s="3"/>
      <c r="G76" s="18" t="s">
        <v>198</v>
      </c>
      <c r="H76" s="7">
        <v>0.267737830098632</v>
      </c>
    </row>
    <row r="77" s="2" customFormat="1" spans="2:8">
      <c r="B77" s="3"/>
      <c r="G77" s="18" t="s">
        <v>199</v>
      </c>
      <c r="H77" s="8">
        <v>-0.024821</v>
      </c>
    </row>
    <row r="78" s="2" customFormat="1" spans="2:8">
      <c r="B78" s="3"/>
      <c r="G78" s="18" t="s">
        <v>200</v>
      </c>
      <c r="H78" s="7">
        <v>0.204575818303273</v>
      </c>
    </row>
    <row r="79" s="2" customFormat="1" spans="2:8">
      <c r="B79" s="3"/>
      <c r="G79" s="18" t="s">
        <v>201</v>
      </c>
      <c r="H79" s="7">
        <v>0.174812030075188</v>
      </c>
    </row>
    <row r="80" s="2" customFormat="1" spans="2:8">
      <c r="B80" s="3"/>
      <c r="G80" s="18" t="s">
        <v>202</v>
      </c>
      <c r="H80" s="7">
        <v>0.232756173715583</v>
      </c>
    </row>
    <row r="81" s="2" customFormat="1" spans="2:8">
      <c r="B81" s="3"/>
      <c r="G81" s="18" t="s">
        <v>203</v>
      </c>
      <c r="H81" s="7">
        <v>0.291593695271454</v>
      </c>
    </row>
    <row r="82" s="2" customFormat="1" spans="2:8">
      <c r="B82" s="3"/>
      <c r="G82" s="18" t="s">
        <v>204</v>
      </c>
      <c r="H82" s="14">
        <v>0.240773569701853</v>
      </c>
    </row>
    <row r="83" s="2" customFormat="1" spans="2:8">
      <c r="B83" s="3"/>
      <c r="G83" s="18" t="s">
        <v>205</v>
      </c>
      <c r="H83" s="15">
        <v>0.285988</v>
      </c>
    </row>
    <row r="84" s="2" customFormat="1" spans="2:8">
      <c r="B84" s="3"/>
      <c r="G84" s="18" t="s">
        <v>206</v>
      </c>
      <c r="H84" s="14">
        <v>0.178275290215589</v>
      </c>
    </row>
    <row r="85" s="2" customFormat="1" spans="2:8">
      <c r="B85" s="3"/>
      <c r="G85" s="18" t="s">
        <v>207</v>
      </c>
      <c r="H85" s="14">
        <v>0.39066634592254</v>
      </c>
    </row>
    <row r="86" s="2" customFormat="1" spans="2:8">
      <c r="B86" s="3"/>
      <c r="G86" s="18" t="s">
        <v>208</v>
      </c>
      <c r="H86" s="14">
        <v>0.361200116516167</v>
      </c>
    </row>
    <row r="87" s="2" customFormat="1" spans="2:8">
      <c r="B87" s="3"/>
      <c r="G87" s="18" t="s">
        <v>209</v>
      </c>
      <c r="H87" s="14">
        <v>0.280118901905928</v>
      </c>
    </row>
    <row r="88" s="2" customFormat="1" spans="2:8">
      <c r="B88" s="3"/>
      <c r="G88" s="18" t="s">
        <v>210</v>
      </c>
      <c r="H88" s="14">
        <v>0.09441384736428</v>
      </c>
    </row>
    <row r="89" s="2" customFormat="1" spans="2:8">
      <c r="B89" s="3"/>
      <c r="G89" s="18" t="s">
        <v>211</v>
      </c>
      <c r="H89" s="14">
        <v>0.116171617161716</v>
      </c>
    </row>
    <row r="90" s="2" customFormat="1" spans="2:8">
      <c r="B90" s="3"/>
      <c r="G90" s="18" t="s">
        <v>212</v>
      </c>
      <c r="H90" s="14">
        <v>0.008240834174235</v>
      </c>
    </row>
    <row r="91" s="2" customFormat="1" spans="2:8">
      <c r="B91" s="3"/>
      <c r="G91" s="18" t="s">
        <v>213</v>
      </c>
      <c r="H91" s="14">
        <v>0.073061513080368</v>
      </c>
    </row>
    <row r="92" s="2" customFormat="1" spans="2:8">
      <c r="B92" s="3"/>
      <c r="G92" s="18" t="s">
        <v>214</v>
      </c>
      <c r="H92" s="14">
        <v>0.068796068796069</v>
      </c>
    </row>
    <row r="93" s="2" customFormat="1" spans="2:8">
      <c r="B93" s="3"/>
      <c r="G93" s="18" t="s">
        <v>215</v>
      </c>
      <c r="H93" s="14">
        <v>0.31541701769166</v>
      </c>
    </row>
    <row r="94" s="2" customFormat="1" spans="2:8">
      <c r="B94" s="3"/>
      <c r="G94" s="18" t="s">
        <v>216</v>
      </c>
      <c r="H94" s="14">
        <v>0.179633401221996</v>
      </c>
    </row>
    <row r="95" s="2" customFormat="1" spans="2:8">
      <c r="B95" s="3"/>
      <c r="G95" s="18" t="s">
        <v>217</v>
      </c>
      <c r="H95" s="14">
        <v>0.33812729498164</v>
      </c>
    </row>
    <row r="96" s="2" customFormat="1" spans="2:8">
      <c r="B96" s="3"/>
      <c r="G96" s="18" t="s">
        <v>218</v>
      </c>
      <c r="H96" s="14">
        <v>0.145704467353952</v>
      </c>
    </row>
    <row r="97" s="2" customFormat="1" spans="2:8">
      <c r="B97" s="3"/>
      <c r="G97" s="18" t="s">
        <v>219</v>
      </c>
      <c r="H97" s="15">
        <v>0.323876</v>
      </c>
    </row>
    <row r="98" s="2" customFormat="1" spans="2:8">
      <c r="B98" s="3"/>
      <c r="G98" s="18" t="s">
        <v>220</v>
      </c>
      <c r="H98" s="14">
        <v>0.134504529234148</v>
      </c>
    </row>
    <row r="99" s="2" customFormat="1" spans="2:8">
      <c r="B99" s="3"/>
      <c r="G99" s="18" t="s">
        <v>221</v>
      </c>
      <c r="H99" s="14">
        <v>0.316836058329651</v>
      </c>
    </row>
    <row r="100" s="2" customFormat="1" spans="2:8">
      <c r="B100" s="3"/>
      <c r="G100" s="18" t="s">
        <v>222</v>
      </c>
      <c r="H100" s="15">
        <v>-0.09319</v>
      </c>
    </row>
    <row r="101" s="2" customFormat="1" spans="2:8">
      <c r="B101" s="3"/>
      <c r="G101" s="18" t="s">
        <v>223</v>
      </c>
      <c r="H101" s="15">
        <v>0.450599</v>
      </c>
    </row>
    <row r="102" s="2" customFormat="1" spans="2:8">
      <c r="B102" s="3"/>
      <c r="G102" s="18" t="s">
        <v>224</v>
      </c>
      <c r="H102" s="16">
        <v>0.196043869956913</v>
      </c>
    </row>
    <row r="103" s="2" customFormat="1" spans="2:8">
      <c r="B103" s="3"/>
      <c r="G103" s="18" t="s">
        <v>225</v>
      </c>
      <c r="H103" s="17">
        <v>0.3333333</v>
      </c>
    </row>
    <row r="104" s="2" customFormat="1" spans="2:8">
      <c r="B104" s="3"/>
      <c r="G104" s="18" t="s">
        <v>226</v>
      </c>
      <c r="H104" s="14">
        <v>0.325015216068168</v>
      </c>
    </row>
    <row r="105" s="2" customFormat="1" spans="2:8">
      <c r="B105" s="3"/>
      <c r="G105" s="18" t="s">
        <v>227</v>
      </c>
      <c r="H105" s="14">
        <v>0.293632696018243</v>
      </c>
    </row>
    <row r="106" s="2" customFormat="1" spans="2:8">
      <c r="B106" s="3"/>
      <c r="G106" s="18" t="s">
        <v>228</v>
      </c>
      <c r="H106" s="16">
        <v>0.4298</v>
      </c>
    </row>
    <row r="107" s="2" customFormat="1" spans="2:8">
      <c r="B107" s="3"/>
      <c r="G107" s="18" t="s">
        <v>229</v>
      </c>
      <c r="H107" s="14">
        <v>0.339059674502712</v>
      </c>
    </row>
    <row r="108" s="2" customFormat="1" spans="2:8">
      <c r="B108" s="3"/>
      <c r="G108" s="18" t="s">
        <v>230</v>
      </c>
      <c r="H108" s="14">
        <v>0.260242792109257</v>
      </c>
    </row>
    <row r="109" s="2" customFormat="1" spans="2:8">
      <c r="B109" s="3"/>
      <c r="G109" s="18" t="s">
        <v>231</v>
      </c>
      <c r="H109" s="14">
        <v>0.179339276350288</v>
      </c>
    </row>
    <row r="110" s="2" customFormat="1" spans="2:8">
      <c r="B110" s="3"/>
      <c r="G110" s="18" t="s">
        <v>232</v>
      </c>
      <c r="H110" s="14">
        <v>0.138488170802077</v>
      </c>
    </row>
    <row r="111" s="2" customFormat="1" spans="2:8">
      <c r="B111" s="3"/>
      <c r="G111" s="18" t="s">
        <v>233</v>
      </c>
      <c r="H111" s="14">
        <v>0.333614153327717</v>
      </c>
    </row>
    <row r="112" s="2" customFormat="1" spans="2:8">
      <c r="B112" s="3"/>
      <c r="G112" s="18" t="s">
        <v>234</v>
      </c>
      <c r="H112" s="14">
        <v>0.266440314510365</v>
      </c>
    </row>
    <row r="113" s="2" customFormat="1" spans="2:8">
      <c r="B113" s="3"/>
      <c r="G113" s="18" t="s">
        <v>235</v>
      </c>
      <c r="H113" s="17">
        <v>0.21</v>
      </c>
    </row>
    <row r="114" s="2" customFormat="1" spans="2:8">
      <c r="B114" s="3"/>
      <c r="G114" s="18" t="s">
        <v>236</v>
      </c>
      <c r="H114" s="14">
        <v>0.438833940655908</v>
      </c>
    </row>
    <row r="115" s="2" customFormat="1" spans="2:8">
      <c r="B115" s="3"/>
      <c r="G115" s="18" t="s">
        <v>237</v>
      </c>
      <c r="H115" s="14">
        <v>0.343286835222319</v>
      </c>
    </row>
    <row r="116" s="2" customFormat="1" spans="2:8">
      <c r="B116" s="3"/>
      <c r="G116" s="18" t="s">
        <v>238</v>
      </c>
      <c r="H116" s="14">
        <v>0.29964953271028</v>
      </c>
    </row>
    <row r="117" s="2" customFormat="1" spans="2:8">
      <c r="B117" s="3"/>
      <c r="G117" s="18" t="s">
        <v>239</v>
      </c>
      <c r="H117" s="14">
        <v>0.359659090909091</v>
      </c>
    </row>
    <row r="118" s="2" customFormat="1" spans="2:8">
      <c r="B118" s="3"/>
      <c r="G118" s="18" t="s">
        <v>240</v>
      </c>
      <c r="H118" s="14">
        <v>0.219710272168569</v>
      </c>
    </row>
    <row r="119" s="2" customFormat="1" spans="2:8">
      <c r="B119" s="3"/>
      <c r="G119" s="18" t="s">
        <v>241</v>
      </c>
      <c r="H119" s="7">
        <v>0.122233400402415</v>
      </c>
    </row>
    <row r="120" s="2" customFormat="1" spans="2:8">
      <c r="B120" s="3"/>
      <c r="G120" s="18" t="s">
        <v>242</v>
      </c>
      <c r="H120" s="7">
        <v>0.151384340577553</v>
      </c>
    </row>
    <row r="121" s="2" customFormat="1" spans="2:8">
      <c r="B121" s="3"/>
      <c r="G121" s="18" t="s">
        <v>243</v>
      </c>
      <c r="H121" s="7">
        <v>0.201989288446825</v>
      </c>
    </row>
    <row r="122" s="2" customFormat="1" spans="2:8">
      <c r="B122" s="3"/>
      <c r="G122" s="18" t="s">
        <v>244</v>
      </c>
      <c r="H122" s="7">
        <v>0.250799744081894</v>
      </c>
    </row>
    <row r="123" s="2" customFormat="1" spans="2:8">
      <c r="B123" s="3"/>
      <c r="G123" s="18" t="s">
        <v>245</v>
      </c>
      <c r="H123" s="7">
        <v>0.283005105762217</v>
      </c>
    </row>
    <row r="129" s="2" customFormat="1" spans="2:8">
      <c r="B129" s="3"/>
      <c r="G129" s="9" t="s">
        <v>156</v>
      </c>
      <c r="H129" s="10">
        <f>AVERAGE(H2:H123)</f>
        <v>0.245236933237823</v>
      </c>
    </row>
    <row r="130" spans="7:8">
      <c r="G130" s="9" t="s">
        <v>158</v>
      </c>
      <c r="H130" s="9">
        <f>STDEV(H2:H123)</f>
        <v>0.11016711524244</v>
      </c>
    </row>
    <row r="131" spans="7:8">
      <c r="G131" s="9" t="s">
        <v>160</v>
      </c>
      <c r="H131" s="9">
        <f>H130/SQRT(COUNT(H2:H123))</f>
        <v>0.0100151922947673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25"/>
  <sheetViews>
    <sheetView tabSelected="1" workbookViewId="0">
      <selection activeCell="N15" sqref="N15"/>
    </sheetView>
  </sheetViews>
  <sheetFormatPr defaultColWidth="9" defaultRowHeight="14"/>
  <sheetData>
    <row r="3" spans="1:1">
      <c r="A3" s="1" t="s">
        <v>167</v>
      </c>
    </row>
    <row r="4" ht="14.5" spans="1:1">
      <c r="A4" s="2"/>
    </row>
    <row r="5" ht="14.5" spans="1:1">
      <c r="A5" s="2"/>
    </row>
    <row r="6" ht="14.5" spans="1:1">
      <c r="A6" s="2"/>
    </row>
    <row r="7" ht="14.5" spans="1:1">
      <c r="A7" s="2"/>
    </row>
    <row r="8" ht="14.5" spans="1:1">
      <c r="A8" s="2"/>
    </row>
    <row r="9" ht="14.5" spans="1:1">
      <c r="A9" s="2"/>
    </row>
    <row r="10" ht="14.5" spans="1:1">
      <c r="A10" s="2"/>
    </row>
    <row r="11" ht="14.5" spans="1:1">
      <c r="A11" s="2"/>
    </row>
    <row r="12" ht="14.5" spans="1:1">
      <c r="A12" s="2"/>
    </row>
    <row r="13" ht="14.5" spans="1:1">
      <c r="A13" s="2"/>
    </row>
    <row r="14" ht="14.5" spans="1:1">
      <c r="A14" s="2"/>
    </row>
    <row r="15" ht="14.5" spans="1:1">
      <c r="A15" s="2"/>
    </row>
    <row r="16" ht="14.5" spans="1:1">
      <c r="A16" s="2"/>
    </row>
    <row r="17" ht="14.5" spans="1:1">
      <c r="A17" s="2"/>
    </row>
    <row r="18" ht="14.5" spans="1:1">
      <c r="A18" s="2"/>
    </row>
    <row r="19" ht="14.5" spans="1:1">
      <c r="A19" s="2"/>
    </row>
    <row r="20" ht="14.5" spans="1:1">
      <c r="A20" s="2"/>
    </row>
    <row r="21" ht="14.5" spans="1:1">
      <c r="A21" s="2"/>
    </row>
    <row r="22" ht="14.5" spans="1:1">
      <c r="A22" s="2"/>
    </row>
    <row r="23" ht="14.5" spans="1:1">
      <c r="A23" s="2"/>
    </row>
    <row r="24" ht="14.5" spans="1:1">
      <c r="A24" s="2"/>
    </row>
    <row r="25" spans="1:1">
      <c r="A25" s="1" t="s">
        <v>190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rfLiu</dc:creator>
  <cp:lastModifiedBy>RF_Liu</cp:lastModifiedBy>
  <dcterms:created xsi:type="dcterms:W3CDTF">2023-05-12T11:15:00Z</dcterms:created>
  <dcterms:modified xsi:type="dcterms:W3CDTF">2025-08-31T08:43:09Z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3710A5C00D1E49F58F976B91ECE37EE9_12</vt:lpwstr>
  </property>
</Properties>
</file>