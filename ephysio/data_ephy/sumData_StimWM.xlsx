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00" windowHeight="14410"/>
  </bookViews>
  <sheets>
    <sheet name="re-orgnized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<sst xmlns="http://schemas.openxmlformats.org/spreadsheetml/2006/main" count="178" uniqueCount="25">
  <si>
    <t>copied data</t>
  </si>
  <si>
    <t>stim current (mA)</t>
  </si>
  <si>
    <t>EPSP_amp_PC</t>
  </si>
  <si>
    <t>EPSP_amp_VEN</t>
  </si>
  <si>
    <t>re-orgnized data</t>
  </si>
  <si>
    <t>cellType</t>
  </si>
  <si>
    <t>VENS</t>
  </si>
  <si>
    <t>VENL</t>
  </si>
  <si>
    <t>ave</t>
  </si>
  <si>
    <t>SE</t>
  </si>
  <si>
    <t>20240911AS4</t>
  </si>
  <si>
    <t>20240911AS5</t>
  </si>
  <si>
    <t>20240911AS7</t>
  </si>
  <si>
    <t>20241008AS2</t>
  </si>
  <si>
    <t>20241008AS3</t>
  </si>
  <si>
    <t>20241008AS4</t>
  </si>
  <si>
    <t>20241014AS2</t>
  </si>
  <si>
    <t>20241014AS3</t>
  </si>
  <si>
    <t>20241014AS4</t>
  </si>
  <si>
    <t>se</t>
  </si>
  <si>
    <t>20241014AS7</t>
  </si>
  <si>
    <t>20241014AS12</t>
  </si>
  <si>
    <t>20241105AS11</t>
  </si>
  <si>
    <t>20241105AS12</t>
  </si>
  <si>
    <t>20241105AS15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</si>
</sst>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/>
    <xf numFmtId="0" fontId="0" fillId="2" borderId="1" xfId="0" applyFill="1" applyBorder="1">
      <alignment vertical="center"/>
    </xf>
    <xf numFmtId="0" fontId="1" fillId="2" borderId="1" xfId="22" applyFont="1" applyFill="1" applyBorder="1" applyAlignment="1"/>
    <xf numFmtId="0" fontId="1" fillId="3" borderId="1" xfId="22" applyFont="1" applyFill="1" applyBorder="1" applyAlignment="1"/>
    <xf numFmtId="0" fontId="1" fillId="3" borderId="1" xfId="0" applyFont="1" applyFill="1" applyBorder="1">
      <alignment vertical="center"/>
    </xf>
    <xf numFmtId="0" fontId="1" fillId="2" borderId="1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4" borderId="1" xfId="22" applyFont="1" applyFill="1" applyBorder="1" applyAlignment="1"/>
    <xf numFmtId="0" fontId="1" fillId="4" borderId="1" xfId="0" applyFont="1" applyFill="1" applyBorder="1" applyAlignment="1"/>
    <xf numFmtId="0" fontId="1" fillId="4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5" borderId="1" xfId="0" applyFill="1" applyBorder="1">
      <alignment vertical="center"/>
    </xf>
    <xf numFmtId="0" fontId="1" fillId="5" borderId="1" xfId="22" applyFont="1" applyFill="1" applyBorder="1" applyAlignment="1"/>
    <xf numFmtId="0" fontId="1" fillId="5" borderId="1" xfId="0" applyFont="1" applyFill="1" applyBorder="1" applyAlignment="1"/>
    <xf numFmtId="0" fontId="1" fillId="5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6" borderId="1" xfId="0" applyFill="1" applyBorder="1">
      <alignment vertical="center"/>
    </xf>
    <xf numFmtId="0" fontId="1" fillId="6" borderId="1" xfId="22" applyFont="1" applyFill="1" applyBorder="1" applyAlignment="1"/>
    <xf numFmtId="0" fontId="1" fillId="6" borderId="1" xfId="0" applyFont="1" applyFill="1" applyBorder="1" applyAlignment="1"/>
    <xf numFmtId="0" fontId="0" fillId="7" borderId="1" xfId="0" applyFill="1" applyBorder="1">
      <alignment vertical="center"/>
    </xf>
    <xf numFmtId="0" fontId="1" fillId="7" borderId="1" xfId="22" applyFont="1" applyFill="1" applyBorder="1" applyAlignment="1"/>
    <xf numFmtId="0" fontId="1" fillId="7" borderId="1" xfId="0" applyFont="1" applyFill="1" applyBorder="1" applyAlignment="1"/>
    <xf numFmtId="0" fontId="1" fillId="7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0" fillId="0" borderId="0" xfId="0" applyFill="1">
      <alignment vertical="center"/>
    </xf>
    <xf numFmtId="0" fontId="1" fillId="0" borderId="0" xfId="22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"PC"</c:f>
              <c:strCache>
                <c:ptCount val="1"/>
                <c:pt idx="0">
                  <c:v>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're-orgnized_data'!$H$82:$H$84</c:f>
              <c:numCache>
                <c:formatCode>General</c:formatCode>
                <c:ptCount val="3"/>
                <c:pt idx="0">
                  <c:v>0.00396665384615385</c:v>
                </c:pt>
                <c:pt idx="1">
                  <c:v>0.00584348461538461</c:v>
                </c:pt>
                <c:pt idx="2">
                  <c:v>0.00869416923076923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"VEN"</c:f>
              <c:strCache>
                <c:ptCount val="1"/>
                <c:pt idx="0">
                  <c:v>VEN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're-orgnized_data'!$I$82:$I$84</c:f>
              <c:numCache>
                <c:formatCode>General</c:formatCode>
                <c:ptCount val="3"/>
                <c:pt idx="0">
                  <c:v>0.00500530769230769</c:v>
                </c:pt>
                <c:pt idx="1">
                  <c:v>0.0105660384615385</c:v>
                </c:pt>
                <c:pt idx="2">
                  <c:v>0.0145411153846154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69780396"/>
        <c:axId val="312964609"/>
      </c:lineChart>
      <c:catAx>
        <c:axId val="4697803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964609"/>
        <c:crosses val="autoZero"/>
        <c:auto val="1"/>
        <c:lblAlgn val="ctr"/>
        <c:lblOffset val="100"/>
        <c:noMultiLvlLbl val="0"/>
      </c:catAx>
      <c:valAx>
        <c:axId val="3129646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7803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36184210526316"/>
          <c:y val="0.116643929058663"/>
          <c:w val="0.279605263157895"/>
          <c:h val="0.10845839017735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a623cc-c3c6-4e33-b97b-4129cd5aa1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're-orgnized_data'!$N$40:$N$42</c:f>
              <c:numCache>
                <c:formatCode>General</c:formatCode>
                <c:ptCount val="3"/>
                <c:pt idx="0">
                  <c:v>0.00398441666666667</c:v>
                </c:pt>
                <c:pt idx="1">
                  <c:v>0.00592338333333333</c:v>
                </c:pt>
                <c:pt idx="2">
                  <c:v>0.00965953333333333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"VENN"</c:f>
              <c:strCache>
                <c:ptCount val="1"/>
                <c:pt idx="0">
                  <c:v>VENN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're-orgnized_data'!$O$40:$O$42</c:f>
              <c:numCache>
                <c:formatCode>General</c:formatCode>
                <c:ptCount val="3"/>
                <c:pt idx="0">
                  <c:v>0.00481</c:v>
                </c:pt>
                <c:pt idx="1">
                  <c:v>0.0107333333333333</c:v>
                </c:pt>
                <c:pt idx="2">
                  <c:v>0.0161425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07337260"/>
        <c:axId val="767246262"/>
      </c:lineChart>
      <c:catAx>
        <c:axId val="9073372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7246262"/>
        <c:crosses val="autoZero"/>
        <c:auto val="1"/>
        <c:lblAlgn val="ctr"/>
        <c:lblOffset val="100"/>
        <c:noMultiLvlLbl val="0"/>
      </c:catAx>
      <c:valAx>
        <c:axId val="7672462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7337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615ed8-9900-418f-80c3-d8c489c780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"PC"</c:f>
              <c:strCache>
                <c:ptCount val="1"/>
                <c:pt idx="0">
                  <c:v>PC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're-orgnized_data'!$N$86:$N$90</c:f>
              <c:numCache>
                <c:formatCode>General</c:formatCode>
                <c:ptCount val="5"/>
                <c:pt idx="0">
                  <c:v>0.0218</c:v>
                </c:pt>
                <c:pt idx="2">
                  <c:v>0.00453466666666667</c:v>
                </c:pt>
                <c:pt idx="3">
                  <c:v>0.00632083333333333</c:v>
                </c:pt>
                <c:pt idx="4">
                  <c:v>0.0079195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"VENL"</c:f>
              <c:strCache>
                <c:ptCount val="1"/>
                <c:pt idx="0">
                  <c:v>VENL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're-orgnized_data'!$O$86:$O$90</c:f>
              <c:numCache>
                <c:formatCode>General</c:formatCode>
                <c:ptCount val="5"/>
                <c:pt idx="0">
                  <c:v>0.0175</c:v>
                </c:pt>
                <c:pt idx="2">
                  <c:v>0.00574416666666667</c:v>
                </c:pt>
                <c:pt idx="3">
                  <c:v>0.0113764166666667</c:v>
                </c:pt>
                <c:pt idx="4">
                  <c:v>0.01421325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7698182"/>
        <c:axId val="246778248"/>
      </c:lineChart>
      <c:catAx>
        <c:axId val="3276981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6778248"/>
        <c:crosses val="autoZero"/>
        <c:auto val="1"/>
        <c:lblAlgn val="ctr"/>
        <c:lblOffset val="100"/>
        <c:noMultiLvlLbl val="0"/>
      </c:catAx>
      <c:valAx>
        <c:axId val="246778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6981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a32f0f-50e5-41cb-b94a-58d05bea86c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349250</xdr:colOff>
      <xdr:row>91</xdr:row>
      <xdr:rowOff>113665</xdr:rowOff>
    </xdr:from>
    <xdr:to>
      <xdr:col>10</xdr:col>
      <xdr:colOff>489585</xdr:colOff>
      <xdr:row>107</xdr:row>
      <xdr:rowOff>95250</xdr:rowOff>
    </xdr:to>
    <xdr:graphicFrame>
      <xdr:nvGraphicFramePr>
        <xdr:cNvPr id="2" name="图表 1"/>
        <xdr:cNvGraphicFramePr/>
      </xdr:nvGraphicFramePr>
      <xdr:xfrm>
        <a:off x="5060950" y="16293465"/>
        <a:ext cx="3816985" cy="2826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374650</xdr:colOff>
      <xdr:row>10</xdr:row>
      <xdr:rowOff>88900</xdr:rowOff>
    </xdr:from>
    <xdr:to>
      <xdr:col>23</xdr:col>
      <xdr:colOff>578485</xdr:colOff>
      <xdr:row>31</xdr:row>
      <xdr:rowOff>82550</xdr:rowOff>
    </xdr:to>
    <xdr:graphicFrame>
      <xdr:nvGraphicFramePr>
        <xdr:cNvPr id="3" name="图表 2"/>
        <xdr:cNvGraphicFramePr/>
      </xdr:nvGraphicFramePr>
      <xdr:xfrm>
        <a:off x="13696950" y="1866900"/>
        <a:ext cx="3975735" cy="372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266700</xdr:colOff>
      <xdr:row>41</xdr:row>
      <xdr:rowOff>88900</xdr:rowOff>
    </xdr:from>
    <xdr:to>
      <xdr:col>23</xdr:col>
      <xdr:colOff>215900</xdr:colOff>
      <xdr:row>59</xdr:row>
      <xdr:rowOff>101600</xdr:rowOff>
    </xdr:to>
    <xdr:graphicFrame>
      <xdr:nvGraphicFramePr>
        <xdr:cNvPr id="4" name="图表 3"/>
        <xdr:cNvGraphicFramePr/>
      </xdr:nvGraphicFramePr>
      <xdr:xfrm>
        <a:off x="13589000" y="7378700"/>
        <a:ext cx="3721100" cy="321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6"/>
  <sheetViews>
    <sheetView tabSelected="1" topLeftCell="B22" workbookViewId="0">
      <selection activeCell="M50" sqref="M50:P50"/>
    </sheetView>
  </sheetViews>
  <sheetFormatPr defaultColWidth="9" defaultRowHeight="14"/>
  <cols>
    <col min="1" max="1" width="15.2727272727273" customWidth="1"/>
    <col min="2" max="2" width="16" customWidth="1"/>
    <col min="3" max="3" width="12.7272727272727" customWidth="1"/>
    <col min="4" max="4" width="14.4545454545455" customWidth="1"/>
    <col min="8" max="9" width="12.8181818181818"/>
    <col min="14" max="15" width="12.8181818181818"/>
  </cols>
  <sheetData>
    <row r="1" spans="1:16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2</v>
      </c>
      <c r="I1" t="s">
        <v>3</v>
      </c>
      <c r="J1" t="s">
        <v>5</v>
      </c>
      <c r="M1" t="s">
        <v>1</v>
      </c>
      <c r="N1" t="s">
        <v>2</v>
      </c>
      <c r="O1" t="s">
        <v>3</v>
      </c>
      <c r="P1" t="s">
        <v>5</v>
      </c>
    </row>
    <row r="2" spans="1:16">
      <c r="A2" s="1"/>
      <c r="B2">
        <v>0.5</v>
      </c>
      <c r="C2" s="2">
        <v>0</v>
      </c>
      <c r="D2" s="3">
        <v>0.0094</v>
      </c>
      <c r="G2">
        <v>0.5</v>
      </c>
      <c r="H2" s="4">
        <v>0.0138</v>
      </c>
      <c r="I2" s="22">
        <v>0</v>
      </c>
      <c r="J2" t="s">
        <v>6</v>
      </c>
      <c r="M2">
        <v>0.5</v>
      </c>
      <c r="N2" s="4">
        <v>0.0091</v>
      </c>
      <c r="O2" s="22">
        <v>0.0134</v>
      </c>
      <c r="P2" t="s">
        <v>7</v>
      </c>
    </row>
    <row r="3" spans="1:16">
      <c r="A3" s="1"/>
      <c r="B3">
        <v>1</v>
      </c>
      <c r="C3" s="5">
        <v>0.0162</v>
      </c>
      <c r="D3" s="6">
        <v>0.0217</v>
      </c>
      <c r="G3">
        <v>0.5</v>
      </c>
      <c r="H3" s="4">
        <v>0.0091</v>
      </c>
      <c r="I3" s="22">
        <v>0.0134</v>
      </c>
      <c r="J3" t="s">
        <v>7</v>
      </c>
      <c r="M3">
        <v>0.5</v>
      </c>
      <c r="N3" s="2">
        <v>0</v>
      </c>
      <c r="O3" s="3">
        <v>0.0094</v>
      </c>
      <c r="P3" t="s">
        <v>7</v>
      </c>
    </row>
    <row r="4" spans="1:16">
      <c r="A4" s="1"/>
      <c r="B4">
        <v>2</v>
      </c>
      <c r="C4" s="5">
        <v>0.0178</v>
      </c>
      <c r="D4" s="6">
        <v>0.0268</v>
      </c>
      <c r="G4">
        <v>0.5</v>
      </c>
      <c r="H4" s="2">
        <v>0</v>
      </c>
      <c r="I4" s="3">
        <v>0.0094</v>
      </c>
      <c r="J4" t="s">
        <v>7</v>
      </c>
      <c r="M4">
        <v>0.5</v>
      </c>
      <c r="N4" s="2">
        <v>0</v>
      </c>
      <c r="O4" s="7">
        <v>0</v>
      </c>
      <c r="P4" t="s">
        <v>7</v>
      </c>
    </row>
    <row r="5" spans="1:16">
      <c r="A5" s="1"/>
      <c r="C5" s="2"/>
      <c r="D5" s="7"/>
      <c r="G5">
        <v>0.5</v>
      </c>
      <c r="H5" s="2">
        <v>0</v>
      </c>
      <c r="I5" s="7">
        <v>0</v>
      </c>
      <c r="J5" t="s">
        <v>7</v>
      </c>
      <c r="M5">
        <v>0.5</v>
      </c>
      <c r="N5" s="5">
        <v>0.0033</v>
      </c>
      <c r="O5" s="6">
        <v>0.0027</v>
      </c>
      <c r="P5" t="s">
        <v>7</v>
      </c>
    </row>
    <row r="6" spans="1:16">
      <c r="A6" s="1"/>
      <c r="B6">
        <v>0.5</v>
      </c>
      <c r="C6" s="2">
        <v>0</v>
      </c>
      <c r="D6" s="7">
        <v>0</v>
      </c>
      <c r="G6">
        <v>0.5</v>
      </c>
      <c r="H6" s="5">
        <v>0.0033</v>
      </c>
      <c r="I6" s="6">
        <v>0.0027</v>
      </c>
      <c r="J6" t="s">
        <v>7</v>
      </c>
      <c r="M6">
        <v>0.5</v>
      </c>
      <c r="N6" s="5">
        <v>0.00035</v>
      </c>
      <c r="O6" s="6">
        <v>0.0028</v>
      </c>
      <c r="P6" t="s">
        <v>7</v>
      </c>
    </row>
    <row r="7" spans="1:16">
      <c r="A7" s="1"/>
      <c r="B7">
        <v>1</v>
      </c>
      <c r="C7" s="5">
        <v>0.0057</v>
      </c>
      <c r="D7" s="6">
        <v>0.013</v>
      </c>
      <c r="G7">
        <v>0.5</v>
      </c>
      <c r="H7" s="5">
        <v>0.00035</v>
      </c>
      <c r="I7" s="6">
        <v>0.0028</v>
      </c>
      <c r="J7" t="s">
        <v>7</v>
      </c>
      <c r="M7">
        <v>0.5</v>
      </c>
      <c r="N7" s="8">
        <v>0.0067</v>
      </c>
      <c r="O7" s="3">
        <v>0.0075</v>
      </c>
      <c r="P7" t="s">
        <v>7</v>
      </c>
    </row>
    <row r="8" spans="1:25">
      <c r="A8" s="1"/>
      <c r="B8">
        <v>2</v>
      </c>
      <c r="C8" s="5">
        <v>0.0113</v>
      </c>
      <c r="D8" s="6">
        <v>0.0249</v>
      </c>
      <c r="G8">
        <v>0.5</v>
      </c>
      <c r="H8" s="8">
        <v>0.007</v>
      </c>
      <c r="I8" s="6">
        <v>0.0095</v>
      </c>
      <c r="J8" t="s">
        <v>6</v>
      </c>
      <c r="M8">
        <v>0.5</v>
      </c>
      <c r="N8" s="8">
        <v>0.0246</v>
      </c>
      <c r="O8" s="3">
        <v>0.0093</v>
      </c>
      <c r="P8" t="s">
        <v>7</v>
      </c>
      <c r="U8" s="1"/>
      <c r="V8" s="1"/>
      <c r="W8" s="1"/>
      <c r="X8" s="1"/>
      <c r="Y8" s="1"/>
    </row>
    <row r="9" spans="1:25">
      <c r="A9" s="9"/>
      <c r="C9" s="2"/>
      <c r="D9" s="7"/>
      <c r="G9">
        <v>0.5</v>
      </c>
      <c r="H9" s="8">
        <v>0.0067</v>
      </c>
      <c r="I9" s="3">
        <v>0.0075</v>
      </c>
      <c r="J9" t="s">
        <v>7</v>
      </c>
      <c r="M9">
        <v>0.5</v>
      </c>
      <c r="N9" s="4">
        <v>0.00021</v>
      </c>
      <c r="O9" s="22">
        <v>0.00116</v>
      </c>
      <c r="P9" t="s">
        <v>7</v>
      </c>
      <c r="U9" s="1"/>
      <c r="V9" s="1"/>
      <c r="W9" s="1"/>
      <c r="X9" s="1"/>
      <c r="Y9" s="1"/>
    </row>
    <row r="10" spans="1:25">
      <c r="A10" s="10"/>
      <c r="B10">
        <v>0.5</v>
      </c>
      <c r="C10" s="5">
        <v>0.0033</v>
      </c>
      <c r="D10" s="6">
        <v>0.0027</v>
      </c>
      <c r="G10">
        <v>0.5</v>
      </c>
      <c r="H10" s="8">
        <v>0.0067</v>
      </c>
      <c r="I10" s="3">
        <v>0.0055</v>
      </c>
      <c r="J10" t="s">
        <v>6</v>
      </c>
      <c r="M10">
        <v>0.5</v>
      </c>
      <c r="N10" s="4">
        <v>0.0007</v>
      </c>
      <c r="O10" s="22">
        <v>0.00086</v>
      </c>
      <c r="P10" t="s">
        <v>7</v>
      </c>
      <c r="U10" s="1"/>
      <c r="V10" s="1"/>
      <c r="W10" s="1"/>
      <c r="X10" s="10"/>
      <c r="Y10" s="1"/>
    </row>
    <row r="11" spans="1:25">
      <c r="A11" s="11"/>
      <c r="B11">
        <v>1</v>
      </c>
      <c r="C11" s="5">
        <v>0.0036</v>
      </c>
      <c r="D11" s="6">
        <v>0.0042</v>
      </c>
      <c r="G11">
        <v>0.5</v>
      </c>
      <c r="H11" s="8">
        <v>0.0246</v>
      </c>
      <c r="I11" s="3">
        <v>0.0093</v>
      </c>
      <c r="J11" t="s">
        <v>7</v>
      </c>
      <c r="M11">
        <v>0.5</v>
      </c>
      <c r="N11" s="4">
        <v>0.0012</v>
      </c>
      <c r="O11" s="22">
        <v>0.0062</v>
      </c>
      <c r="P11" t="s">
        <v>7</v>
      </c>
      <c r="U11" s="1"/>
      <c r="V11" s="1"/>
      <c r="W11" s="1"/>
      <c r="X11" s="32"/>
      <c r="Y11" s="1"/>
    </row>
    <row r="12" spans="1:25">
      <c r="A12" s="11"/>
      <c r="B12">
        <v>2</v>
      </c>
      <c r="C12" s="5">
        <v>0.0045</v>
      </c>
      <c r="D12" s="6">
        <v>0.0155</v>
      </c>
      <c r="G12">
        <v>0.5</v>
      </c>
      <c r="H12" s="2">
        <v>0.0003</v>
      </c>
      <c r="I12" s="7">
        <v>0.0025</v>
      </c>
      <c r="M12">
        <v>0.5</v>
      </c>
      <c r="N12" s="4">
        <v>0.00049</v>
      </c>
      <c r="O12" s="22">
        <v>0.0021</v>
      </c>
      <c r="P12" t="s">
        <v>7</v>
      </c>
      <c r="U12" s="1"/>
      <c r="V12" s="1"/>
      <c r="W12" s="1"/>
      <c r="X12" s="32"/>
      <c r="Y12" s="1"/>
    </row>
    <row r="13" spans="1:25">
      <c r="A13" s="11"/>
      <c r="C13" s="2"/>
      <c r="D13" s="7"/>
      <c r="G13">
        <v>0.5</v>
      </c>
      <c r="H13" s="8">
        <v>0.0029</v>
      </c>
      <c r="I13" s="3">
        <v>0.0296</v>
      </c>
      <c r="J13" t="s">
        <v>6</v>
      </c>
      <c r="M13">
        <v>0.5</v>
      </c>
      <c r="N13" s="4">
        <v>0.001163</v>
      </c>
      <c r="O13" s="22">
        <v>0.0023</v>
      </c>
      <c r="P13" t="s">
        <v>7</v>
      </c>
      <c r="U13" s="1"/>
      <c r="V13" s="1"/>
      <c r="W13" s="1"/>
      <c r="X13" s="1"/>
      <c r="Y13" s="1"/>
    </row>
    <row r="14" spans="1:25">
      <c r="A14" s="11"/>
      <c r="B14">
        <v>0.5</v>
      </c>
      <c r="C14" s="5">
        <v>0.00035</v>
      </c>
      <c r="D14" s="6">
        <v>0.0028</v>
      </c>
      <c r="G14">
        <v>0.5</v>
      </c>
      <c r="H14" s="4">
        <v>0.00295</v>
      </c>
      <c r="I14" s="22">
        <v>0.0009</v>
      </c>
      <c r="J14" t="s">
        <v>6</v>
      </c>
      <c r="M14">
        <v>1</v>
      </c>
      <c r="N14" s="12">
        <v>0.0116</v>
      </c>
      <c r="O14" s="23">
        <v>0.0141</v>
      </c>
      <c r="P14" t="s">
        <v>7</v>
      </c>
      <c r="U14" s="1"/>
      <c r="V14" s="1"/>
      <c r="W14" s="1"/>
      <c r="X14" s="10"/>
      <c r="Y14" s="1"/>
    </row>
    <row r="15" spans="1:25">
      <c r="A15" s="11"/>
      <c r="B15">
        <v>1</v>
      </c>
      <c r="C15" s="5">
        <v>0.0011</v>
      </c>
      <c r="D15" s="6">
        <v>0.0145</v>
      </c>
      <c r="G15">
        <v>0.5</v>
      </c>
      <c r="H15" s="4">
        <v>0.000876</v>
      </c>
      <c r="I15" s="22">
        <v>0.001</v>
      </c>
      <c r="J15" t="s">
        <v>6</v>
      </c>
      <c r="M15">
        <v>1</v>
      </c>
      <c r="N15" s="13">
        <v>0.0162</v>
      </c>
      <c r="O15" s="24">
        <v>0.0217</v>
      </c>
      <c r="P15" t="s">
        <v>7</v>
      </c>
      <c r="U15" s="1"/>
      <c r="V15" s="1"/>
      <c r="W15" s="1"/>
      <c r="X15" s="32"/>
      <c r="Y15" s="1"/>
    </row>
    <row r="16" spans="1:25">
      <c r="A16" s="11"/>
      <c r="B16">
        <v>2</v>
      </c>
      <c r="C16" s="8">
        <v>0.0041</v>
      </c>
      <c r="D16" s="6">
        <v>0.0251</v>
      </c>
      <c r="G16">
        <v>0.5</v>
      </c>
      <c r="H16" s="4">
        <v>0.00012</v>
      </c>
      <c r="I16" s="22">
        <v>0.00184</v>
      </c>
      <c r="J16" t="s">
        <v>6</v>
      </c>
      <c r="M16">
        <v>1</v>
      </c>
      <c r="N16" s="13">
        <v>0.0057</v>
      </c>
      <c r="O16" s="24">
        <v>0.013</v>
      </c>
      <c r="P16" t="s">
        <v>7</v>
      </c>
      <c r="U16" s="1"/>
      <c r="V16" s="1"/>
      <c r="W16" s="1"/>
      <c r="X16" s="32"/>
      <c r="Y16" s="1"/>
    </row>
    <row r="17" spans="1:25">
      <c r="A17" s="11"/>
      <c r="C17" s="2"/>
      <c r="D17" s="7"/>
      <c r="G17">
        <v>0.5</v>
      </c>
      <c r="H17" s="4">
        <v>0.001</v>
      </c>
      <c r="I17" s="22">
        <v>0.0054</v>
      </c>
      <c r="J17" t="s">
        <v>6</v>
      </c>
      <c r="M17">
        <v>1</v>
      </c>
      <c r="N17" s="13">
        <v>0.0036</v>
      </c>
      <c r="O17" s="24">
        <v>0.0042</v>
      </c>
      <c r="P17" t="s">
        <v>7</v>
      </c>
      <c r="U17" s="1"/>
      <c r="V17" s="1"/>
      <c r="W17" s="1"/>
      <c r="X17" s="1"/>
      <c r="Y17" s="1"/>
    </row>
    <row r="18" spans="1:25">
      <c r="A18" s="10"/>
      <c r="B18">
        <v>0.5</v>
      </c>
      <c r="C18" s="8">
        <v>0.007</v>
      </c>
      <c r="D18" s="6">
        <v>0.0095</v>
      </c>
      <c r="G18">
        <v>0.5</v>
      </c>
      <c r="H18" s="4">
        <v>0.00021</v>
      </c>
      <c r="I18" s="22">
        <v>0.00116</v>
      </c>
      <c r="J18" t="s">
        <v>7</v>
      </c>
      <c r="M18">
        <v>1</v>
      </c>
      <c r="N18" s="13">
        <v>0.0011</v>
      </c>
      <c r="O18" s="24">
        <v>0.0145</v>
      </c>
      <c r="P18" t="s">
        <v>7</v>
      </c>
      <c r="U18" s="1"/>
      <c r="V18" s="1"/>
      <c r="W18" s="1"/>
      <c r="X18" s="1"/>
      <c r="Y18" s="1"/>
    </row>
    <row r="19" spans="1:25">
      <c r="A19" s="11"/>
      <c r="B19">
        <v>1</v>
      </c>
      <c r="C19" s="8">
        <v>0.0147</v>
      </c>
      <c r="D19" s="6">
        <v>0.0136</v>
      </c>
      <c r="G19">
        <v>0.5</v>
      </c>
      <c r="H19" s="4">
        <v>0.00068</v>
      </c>
      <c r="I19" s="22">
        <v>0.00251</v>
      </c>
      <c r="J19" t="s">
        <v>6</v>
      </c>
      <c r="M19">
        <v>1</v>
      </c>
      <c r="N19" s="14">
        <v>0.0075</v>
      </c>
      <c r="O19" s="25">
        <v>0.0122</v>
      </c>
      <c r="P19" t="s">
        <v>7</v>
      </c>
      <c r="U19" s="1"/>
      <c r="V19" s="1"/>
      <c r="W19" s="1"/>
      <c r="X19" s="1"/>
      <c r="Y19" s="1"/>
    </row>
    <row r="20" spans="1:25">
      <c r="A20" s="11"/>
      <c r="B20">
        <v>2</v>
      </c>
      <c r="C20" s="8">
        <v>0.0189</v>
      </c>
      <c r="D20" s="6">
        <v>0.0192</v>
      </c>
      <c r="G20">
        <v>0.5</v>
      </c>
      <c r="H20" s="4">
        <v>0.00049</v>
      </c>
      <c r="I20" s="22">
        <v>0.0021</v>
      </c>
      <c r="J20" t="s">
        <v>6</v>
      </c>
      <c r="M20">
        <v>1</v>
      </c>
      <c r="N20" s="14">
        <v>0.0139</v>
      </c>
      <c r="O20" s="25">
        <v>0.0279</v>
      </c>
      <c r="P20" t="s">
        <v>7</v>
      </c>
      <c r="U20" s="1"/>
      <c r="V20" s="1"/>
      <c r="W20" s="1"/>
      <c r="X20" s="1"/>
      <c r="Y20" s="1"/>
    </row>
    <row r="21" spans="1:16">
      <c r="A21" s="11"/>
      <c r="C21" s="2"/>
      <c r="D21" s="7"/>
      <c r="G21">
        <v>0.5</v>
      </c>
      <c r="H21" s="4">
        <v>0.0163</v>
      </c>
      <c r="I21" s="22">
        <v>0.00648</v>
      </c>
      <c r="J21" t="s">
        <v>6</v>
      </c>
      <c r="M21">
        <v>1</v>
      </c>
      <c r="N21" s="12">
        <v>0.00128</v>
      </c>
      <c r="O21" s="23">
        <v>0.00115</v>
      </c>
      <c r="P21" t="s">
        <v>7</v>
      </c>
    </row>
    <row r="22" spans="1:16">
      <c r="A22" s="10"/>
      <c r="B22">
        <v>0.5</v>
      </c>
      <c r="C22" s="8">
        <v>0.0067</v>
      </c>
      <c r="D22" s="3">
        <v>0.0075</v>
      </c>
      <c r="G22">
        <v>0.5</v>
      </c>
      <c r="H22" s="4">
        <v>0.0007</v>
      </c>
      <c r="I22" s="22">
        <v>0.00086</v>
      </c>
      <c r="J22" t="s">
        <v>7</v>
      </c>
      <c r="M22">
        <v>1</v>
      </c>
      <c r="N22" s="12">
        <v>0.0013</v>
      </c>
      <c r="O22" s="23">
        <v>0.00235</v>
      </c>
      <c r="P22" t="s">
        <v>7</v>
      </c>
    </row>
    <row r="23" spans="1:16">
      <c r="A23" s="11"/>
      <c r="B23">
        <v>1</v>
      </c>
      <c r="C23" s="8">
        <v>0.0113</v>
      </c>
      <c r="D23" s="3">
        <v>0.0117</v>
      </c>
      <c r="G23">
        <v>0.5</v>
      </c>
      <c r="H23" s="4">
        <v>0.0012</v>
      </c>
      <c r="I23" s="22">
        <v>0.0062</v>
      </c>
      <c r="J23" t="s">
        <v>7</v>
      </c>
      <c r="M23">
        <v>1</v>
      </c>
      <c r="N23" s="12">
        <v>0.0015</v>
      </c>
      <c r="O23" s="23">
        <v>0.0069</v>
      </c>
      <c r="P23" t="s">
        <v>7</v>
      </c>
    </row>
    <row r="24" spans="1:16">
      <c r="A24" s="11"/>
      <c r="B24">
        <v>2</v>
      </c>
      <c r="C24" s="8">
        <v>0.0128</v>
      </c>
      <c r="D24" s="3">
        <v>0.0181</v>
      </c>
      <c r="G24">
        <v>0.5</v>
      </c>
      <c r="H24" s="4">
        <v>0.00049</v>
      </c>
      <c r="I24" s="22">
        <v>0.0021</v>
      </c>
      <c r="J24" t="s">
        <v>7</v>
      </c>
      <c r="M24">
        <v>1</v>
      </c>
      <c r="N24" s="12">
        <v>0.0054</v>
      </c>
      <c r="O24" s="23">
        <v>0.0075</v>
      </c>
      <c r="P24" t="s">
        <v>7</v>
      </c>
    </row>
    <row r="25" spans="1:16">
      <c r="A25" s="11"/>
      <c r="C25" s="2"/>
      <c r="D25" s="7"/>
      <c r="G25">
        <v>0.5</v>
      </c>
      <c r="H25" s="4">
        <v>0.000604</v>
      </c>
      <c r="I25" s="22">
        <v>0.000988</v>
      </c>
      <c r="M25">
        <v>1</v>
      </c>
      <c r="N25" s="12">
        <v>0.0020006</v>
      </c>
      <c r="O25" s="23">
        <v>0.0033</v>
      </c>
      <c r="P25" t="s">
        <v>7</v>
      </c>
    </row>
    <row r="26" spans="1:16">
      <c r="A26" s="10"/>
      <c r="B26">
        <v>0.5</v>
      </c>
      <c r="C26" s="8">
        <v>0.0067</v>
      </c>
      <c r="D26" s="3">
        <v>0.0055</v>
      </c>
      <c r="G26">
        <v>0.5</v>
      </c>
      <c r="H26" s="4">
        <v>0.0016</v>
      </c>
      <c r="I26" s="22">
        <v>0.0041</v>
      </c>
      <c r="J26" t="s">
        <v>6</v>
      </c>
      <c r="M26">
        <v>2</v>
      </c>
      <c r="N26" s="18">
        <v>0.0128</v>
      </c>
      <c r="O26" s="26">
        <v>0.0339</v>
      </c>
      <c r="P26" t="s">
        <v>7</v>
      </c>
    </row>
    <row r="27" spans="1:16">
      <c r="A27" s="11"/>
      <c r="B27">
        <v>1</v>
      </c>
      <c r="C27" s="8">
        <v>0.0075</v>
      </c>
      <c r="D27" s="3">
        <v>0.0122</v>
      </c>
      <c r="G27">
        <v>0.5</v>
      </c>
      <c r="H27" s="4">
        <v>0.001163</v>
      </c>
      <c r="I27" s="22">
        <v>0.0023</v>
      </c>
      <c r="J27" t="s">
        <v>7</v>
      </c>
      <c r="M27">
        <v>2</v>
      </c>
      <c r="N27" s="19">
        <v>0.0178</v>
      </c>
      <c r="O27" s="27">
        <v>0.0268</v>
      </c>
      <c r="P27" t="s">
        <v>7</v>
      </c>
    </row>
    <row r="28" spans="1:16">
      <c r="A28" s="11"/>
      <c r="B28">
        <v>2</v>
      </c>
      <c r="C28" s="8">
        <v>0.0068</v>
      </c>
      <c r="D28" s="3">
        <v>0.0111</v>
      </c>
      <c r="G28">
        <v>1</v>
      </c>
      <c r="H28" s="12">
        <v>0.0149</v>
      </c>
      <c r="I28" s="23">
        <v>0.0026</v>
      </c>
      <c r="J28" t="s">
        <v>6</v>
      </c>
      <c r="M28">
        <v>2</v>
      </c>
      <c r="N28" s="19">
        <v>0.0113</v>
      </c>
      <c r="O28" s="27">
        <v>0.0249</v>
      </c>
      <c r="P28" t="s">
        <v>7</v>
      </c>
    </row>
    <row r="29" spans="1:16">
      <c r="A29" s="11"/>
      <c r="C29" s="2"/>
      <c r="D29" s="7"/>
      <c r="G29">
        <v>1</v>
      </c>
      <c r="H29" s="12">
        <v>0.0116</v>
      </c>
      <c r="I29" s="23">
        <v>0.0141</v>
      </c>
      <c r="J29" t="s">
        <v>7</v>
      </c>
      <c r="M29">
        <v>2</v>
      </c>
      <c r="N29" s="19">
        <v>0.0045</v>
      </c>
      <c r="O29" s="27">
        <v>0.0155</v>
      </c>
      <c r="P29" t="s">
        <v>7</v>
      </c>
    </row>
    <row r="30" spans="1:16">
      <c r="A30" s="10"/>
      <c r="B30">
        <v>0.5</v>
      </c>
      <c r="C30" s="8">
        <v>0.0246</v>
      </c>
      <c r="D30" s="3">
        <v>0.0093</v>
      </c>
      <c r="G30">
        <v>1</v>
      </c>
      <c r="H30" s="13">
        <v>0.0162</v>
      </c>
      <c r="I30" s="24">
        <v>0.0217</v>
      </c>
      <c r="J30" t="s">
        <v>7</v>
      </c>
      <c r="M30">
        <v>2</v>
      </c>
      <c r="N30" s="20">
        <v>0.0041</v>
      </c>
      <c r="O30" s="27">
        <v>0.0251</v>
      </c>
      <c r="P30" t="s">
        <v>7</v>
      </c>
    </row>
    <row r="31" spans="1:16">
      <c r="A31" s="11"/>
      <c r="B31">
        <v>1</v>
      </c>
      <c r="C31" s="8">
        <v>0.0139</v>
      </c>
      <c r="D31" s="3">
        <v>0.0279</v>
      </c>
      <c r="G31">
        <v>1</v>
      </c>
      <c r="H31" s="13">
        <v>0.0057</v>
      </c>
      <c r="I31" s="24">
        <v>0.013</v>
      </c>
      <c r="J31" t="s">
        <v>7</v>
      </c>
      <c r="M31">
        <v>2</v>
      </c>
      <c r="N31" s="20">
        <v>0.0068</v>
      </c>
      <c r="O31" s="28">
        <v>0.0111</v>
      </c>
      <c r="P31" t="s">
        <v>7</v>
      </c>
    </row>
    <row r="32" spans="1:16">
      <c r="A32" s="11"/>
      <c r="B32">
        <v>2</v>
      </c>
      <c r="C32" s="8">
        <v>0.045</v>
      </c>
      <c r="D32" s="3">
        <v>0.0309</v>
      </c>
      <c r="G32">
        <v>1</v>
      </c>
      <c r="H32" s="13">
        <v>0.0036</v>
      </c>
      <c r="I32" s="24">
        <v>0.0042</v>
      </c>
      <c r="J32" t="s">
        <v>7</v>
      </c>
      <c r="M32">
        <v>2</v>
      </c>
      <c r="N32" s="20">
        <v>0.045</v>
      </c>
      <c r="O32" s="28">
        <v>0.0309</v>
      </c>
      <c r="P32" t="s">
        <v>7</v>
      </c>
    </row>
    <row r="33" spans="1:16">
      <c r="A33" s="11"/>
      <c r="C33" s="2"/>
      <c r="D33" s="7"/>
      <c r="G33">
        <v>1</v>
      </c>
      <c r="H33" s="13">
        <v>0.0011</v>
      </c>
      <c r="I33" s="24">
        <v>0.0145</v>
      </c>
      <c r="J33" t="s">
        <v>7</v>
      </c>
      <c r="M33">
        <v>2</v>
      </c>
      <c r="N33" s="18">
        <v>0.000274</v>
      </c>
      <c r="O33" s="29">
        <v>0.00265</v>
      </c>
      <c r="P33" t="s">
        <v>7</v>
      </c>
    </row>
    <row r="34" spans="1:16">
      <c r="A34" s="10"/>
      <c r="B34">
        <v>0.5</v>
      </c>
      <c r="C34" s="2">
        <v>0.0003</v>
      </c>
      <c r="D34" s="7">
        <v>0.0025</v>
      </c>
      <c r="G34">
        <v>1</v>
      </c>
      <c r="H34" s="14">
        <v>0.0113</v>
      </c>
      <c r="I34" s="25">
        <v>0.0117</v>
      </c>
      <c r="J34" t="s">
        <v>6</v>
      </c>
      <c r="M34">
        <v>2</v>
      </c>
      <c r="N34" s="18">
        <v>0.0017</v>
      </c>
      <c r="O34" s="29">
        <v>0.00306</v>
      </c>
      <c r="P34" t="s">
        <v>7</v>
      </c>
    </row>
    <row r="35" spans="1:16">
      <c r="A35" s="11"/>
      <c r="B35">
        <v>1</v>
      </c>
      <c r="C35" s="2">
        <v>0.0027</v>
      </c>
      <c r="D35" s="7">
        <v>0.0074</v>
      </c>
      <c r="G35">
        <v>1</v>
      </c>
      <c r="H35" s="14">
        <v>0.0075</v>
      </c>
      <c r="I35" s="25">
        <v>0.0122</v>
      </c>
      <c r="J35" t="s">
        <v>7</v>
      </c>
      <c r="M35">
        <v>2</v>
      </c>
      <c r="N35" s="18">
        <v>0.0016</v>
      </c>
      <c r="O35" s="29">
        <v>0.0082</v>
      </c>
      <c r="P35" t="s">
        <v>7</v>
      </c>
    </row>
    <row r="36" spans="1:16">
      <c r="A36" s="11"/>
      <c r="B36">
        <v>2</v>
      </c>
      <c r="C36" s="2">
        <v>0.0088</v>
      </c>
      <c r="D36" s="7">
        <v>0.0092</v>
      </c>
      <c r="G36">
        <v>1</v>
      </c>
      <c r="H36" s="14">
        <v>0.0075</v>
      </c>
      <c r="I36" s="25">
        <v>0.0122</v>
      </c>
      <c r="J36" t="s">
        <v>6</v>
      </c>
      <c r="M36">
        <v>2</v>
      </c>
      <c r="N36" s="18">
        <v>0.0064</v>
      </c>
      <c r="O36" s="29">
        <v>0.0057</v>
      </c>
      <c r="P36" t="s">
        <v>7</v>
      </c>
    </row>
    <row r="37" spans="1:16">
      <c r="A37" s="11"/>
      <c r="C37" s="2"/>
      <c r="D37" s="7"/>
      <c r="G37">
        <v>1</v>
      </c>
      <c r="H37" s="14">
        <v>0.0139</v>
      </c>
      <c r="I37" s="25">
        <v>0.0279</v>
      </c>
      <c r="J37" t="s">
        <v>7</v>
      </c>
      <c r="M37">
        <v>2</v>
      </c>
      <c r="N37" s="18">
        <v>0.0036404</v>
      </c>
      <c r="O37" s="26">
        <v>0.0059</v>
      </c>
      <c r="P37" t="s">
        <v>7</v>
      </c>
    </row>
    <row r="38" spans="1:15">
      <c r="A38" s="10"/>
      <c r="B38">
        <v>0.5</v>
      </c>
      <c r="C38" s="8">
        <v>0.0088</v>
      </c>
      <c r="D38" s="3">
        <v>0.0216</v>
      </c>
      <c r="G38">
        <v>1</v>
      </c>
      <c r="H38" s="15">
        <v>0.0027</v>
      </c>
      <c r="I38" s="30">
        <v>0.0074</v>
      </c>
      <c r="N38" s="31"/>
      <c r="O38" s="31"/>
    </row>
    <row r="39" spans="1:15">
      <c r="A39" s="11"/>
      <c r="B39">
        <v>1</v>
      </c>
      <c r="C39" s="8">
        <v>0.0236</v>
      </c>
      <c r="D39" s="3">
        <v>0.0309</v>
      </c>
      <c r="G39">
        <v>1</v>
      </c>
      <c r="H39" s="14">
        <v>0.008</v>
      </c>
      <c r="I39" s="25">
        <v>0.0557</v>
      </c>
      <c r="J39" t="s">
        <v>6</v>
      </c>
      <c r="N39" s="31"/>
      <c r="O39" s="31"/>
    </row>
    <row r="40" spans="1:15">
      <c r="A40" s="11"/>
      <c r="B40">
        <v>2</v>
      </c>
      <c r="C40" s="8">
        <v>0.0502</v>
      </c>
      <c r="D40" s="3">
        <v>0.0478</v>
      </c>
      <c r="G40">
        <v>1</v>
      </c>
      <c r="H40" s="12">
        <v>0.0056</v>
      </c>
      <c r="I40" s="23">
        <v>0.002937</v>
      </c>
      <c r="J40" t="s">
        <v>6</v>
      </c>
      <c r="M40" t="s">
        <v>8</v>
      </c>
      <c r="N40">
        <f>AVERAGE(N2:N13)</f>
        <v>0.00398441666666667</v>
      </c>
      <c r="O40">
        <f>AVERAGE(O2:O13)</f>
        <v>0.00481</v>
      </c>
    </row>
    <row r="41" spans="1:15">
      <c r="A41" s="11"/>
      <c r="C41" s="2"/>
      <c r="D41" s="7"/>
      <c r="G41">
        <v>1</v>
      </c>
      <c r="H41" s="12">
        <v>0.00217</v>
      </c>
      <c r="I41" s="23">
        <v>0.00858</v>
      </c>
      <c r="J41" t="s">
        <v>6</v>
      </c>
      <c r="N41">
        <f>AVERAGE(N14:N25)</f>
        <v>0.00592338333333333</v>
      </c>
      <c r="O41">
        <f>AVERAGE(O14:O25)</f>
        <v>0.0107333333333333</v>
      </c>
    </row>
    <row r="42" spans="1:15">
      <c r="A42" s="1"/>
      <c r="B42">
        <v>0.5</v>
      </c>
      <c r="C42" s="8">
        <v>0.0029</v>
      </c>
      <c r="D42" s="3">
        <v>0.0296</v>
      </c>
      <c r="G42">
        <v>1</v>
      </c>
      <c r="H42" s="12">
        <v>0.00014</v>
      </c>
      <c r="I42" s="23">
        <v>0.00158</v>
      </c>
      <c r="J42" t="s">
        <v>6</v>
      </c>
      <c r="N42">
        <f>AVERAGE(N26:N37)</f>
        <v>0.00965953333333333</v>
      </c>
      <c r="O42">
        <f>AVERAGE(O26:O37)</f>
        <v>0.0161425</v>
      </c>
    </row>
    <row r="43" spans="1:10">
      <c r="A43" s="11"/>
      <c r="B43">
        <v>1</v>
      </c>
      <c r="C43" s="8">
        <v>0.008</v>
      </c>
      <c r="D43" s="3">
        <v>0.0557</v>
      </c>
      <c r="G43">
        <v>1</v>
      </c>
      <c r="H43" s="12">
        <v>0.0007</v>
      </c>
      <c r="I43" s="23">
        <v>0.0043</v>
      </c>
      <c r="J43" t="s">
        <v>6</v>
      </c>
    </row>
    <row r="44" spans="1:15">
      <c r="A44" s="11"/>
      <c r="B44">
        <v>2</v>
      </c>
      <c r="C44" s="8">
        <v>0.0073</v>
      </c>
      <c r="D44" s="3">
        <v>0.0621</v>
      </c>
      <c r="G44">
        <v>1</v>
      </c>
      <c r="H44" s="12">
        <v>0.00128</v>
      </c>
      <c r="I44" s="23">
        <v>0.00115</v>
      </c>
      <c r="J44" t="s">
        <v>7</v>
      </c>
      <c r="M44" t="s">
        <v>9</v>
      </c>
      <c r="N44">
        <f>AVERAGE(N2:N13)/SQRT(COUNT(N2:N13))</f>
        <v>0.00115020201753182</v>
      </c>
      <c r="O44">
        <f>AVERAGE(O2:O13)/SQRT(COUNT(O2:O13))</f>
        <v>0.00138852739740105</v>
      </c>
    </row>
    <row r="45" spans="1:15">
      <c r="A45" s="11"/>
      <c r="C45" s="2"/>
      <c r="D45" s="7"/>
      <c r="G45">
        <v>1</v>
      </c>
      <c r="H45" s="12">
        <v>0.00042</v>
      </c>
      <c r="I45" s="23">
        <v>0.00605</v>
      </c>
      <c r="J45" t="s">
        <v>6</v>
      </c>
      <c r="N45">
        <f>AVERAGE(N14:N25)/SQRT(COUNT(N14:N25))</f>
        <v>0.00170993348100667</v>
      </c>
      <c r="O45">
        <f>AVERAGE(O14:O25)/SQRT(COUNT(O14:O25))</f>
        <v>0.00309844644465099</v>
      </c>
    </row>
    <row r="46" spans="1:15">
      <c r="A46" s="10"/>
      <c r="B46">
        <v>0.5</v>
      </c>
      <c r="C46" s="8">
        <v>0.0052</v>
      </c>
      <c r="D46" s="3">
        <v>0.0346</v>
      </c>
      <c r="G46">
        <v>1</v>
      </c>
      <c r="H46" s="12">
        <v>0.00032</v>
      </c>
      <c r="I46" s="23">
        <v>0.01275</v>
      </c>
      <c r="J46" t="s">
        <v>6</v>
      </c>
      <c r="N46">
        <f>AVERAGE(N26:N37)/SQRT(COUNT(N26:N37))</f>
        <v>0.00278846708512308</v>
      </c>
      <c r="O46">
        <f>AVERAGE(O26:O37)/SQRT(COUNT(O26:O37))</f>
        <v>0.00465993836019677</v>
      </c>
    </row>
    <row r="47" spans="1:10">
      <c r="A47" s="11"/>
      <c r="B47">
        <v>1</v>
      </c>
      <c r="C47" s="8">
        <v>0.0159</v>
      </c>
      <c r="D47" s="3">
        <v>0.0543</v>
      </c>
      <c r="G47">
        <v>1</v>
      </c>
      <c r="H47" s="12">
        <v>0.0116</v>
      </c>
      <c r="I47" s="23">
        <v>0.00522</v>
      </c>
      <c r="J47" t="s">
        <v>6</v>
      </c>
    </row>
    <row r="48" spans="2:10">
      <c r="B48">
        <v>2</v>
      </c>
      <c r="C48" s="8">
        <v>0.0668</v>
      </c>
      <c r="D48" s="3">
        <v>0.0599</v>
      </c>
      <c r="G48">
        <v>1</v>
      </c>
      <c r="H48" s="12">
        <v>0.0013</v>
      </c>
      <c r="I48" s="23">
        <v>0.00235</v>
      </c>
      <c r="J48" t="s">
        <v>7</v>
      </c>
    </row>
    <row r="49" spans="7:10">
      <c r="G49">
        <v>1</v>
      </c>
      <c r="H49" s="12">
        <v>0.0015</v>
      </c>
      <c r="I49" s="23">
        <v>0.0069</v>
      </c>
      <c r="J49" t="s">
        <v>7</v>
      </c>
    </row>
    <row r="50" spans="7:16">
      <c r="G50">
        <v>1</v>
      </c>
      <c r="H50" s="12">
        <v>0.0054</v>
      </c>
      <c r="I50" s="23">
        <v>0.0075</v>
      </c>
      <c r="J50" t="s">
        <v>7</v>
      </c>
      <c r="M50" t="s">
        <v>1</v>
      </c>
      <c r="N50" t="s">
        <v>2</v>
      </c>
      <c r="O50" t="s">
        <v>3</v>
      </c>
      <c r="P50" t="s">
        <v>5</v>
      </c>
    </row>
    <row r="51" spans="7:16">
      <c r="G51">
        <v>1</v>
      </c>
      <c r="H51" s="12">
        <v>0.0023</v>
      </c>
      <c r="I51" s="23">
        <v>0.002</v>
      </c>
      <c r="M51">
        <v>0.5</v>
      </c>
      <c r="N51" s="4">
        <v>0.0138</v>
      </c>
      <c r="O51" s="22">
        <v>0</v>
      </c>
      <c r="P51" t="s">
        <v>7</v>
      </c>
    </row>
    <row r="52" spans="1:16">
      <c r="A52" t="s">
        <v>10</v>
      </c>
      <c r="B52">
        <v>0.5</v>
      </c>
      <c r="C52" s="16">
        <v>0.00295</v>
      </c>
      <c r="D52" s="17">
        <v>0.0009</v>
      </c>
      <c r="G52">
        <v>1</v>
      </c>
      <c r="H52" s="12">
        <v>0.0132</v>
      </c>
      <c r="I52" s="23">
        <v>0.0129</v>
      </c>
      <c r="J52" t="s">
        <v>6</v>
      </c>
      <c r="M52">
        <v>0.5</v>
      </c>
      <c r="N52" s="8">
        <v>0.007</v>
      </c>
      <c r="O52" s="6">
        <v>0.0095</v>
      </c>
      <c r="P52" t="s">
        <v>7</v>
      </c>
    </row>
    <row r="53" spans="2:16">
      <c r="B53">
        <v>1</v>
      </c>
      <c r="C53" s="16">
        <v>0.0056</v>
      </c>
      <c r="D53" s="17">
        <v>0.002937</v>
      </c>
      <c r="G53">
        <v>1</v>
      </c>
      <c r="H53" s="12">
        <v>0.0020006</v>
      </c>
      <c r="I53" s="23">
        <v>0.0033</v>
      </c>
      <c r="J53" t="s">
        <v>7</v>
      </c>
      <c r="M53">
        <v>0.5</v>
      </c>
      <c r="N53" s="8">
        <v>0.0067</v>
      </c>
      <c r="O53" s="3">
        <v>0.0055</v>
      </c>
      <c r="P53" t="s">
        <v>7</v>
      </c>
    </row>
    <row r="54" spans="2:16">
      <c r="B54">
        <v>2</v>
      </c>
      <c r="C54" s="16">
        <v>0.01471</v>
      </c>
      <c r="D54" s="17">
        <v>0.014129</v>
      </c>
      <c r="G54">
        <v>2</v>
      </c>
      <c r="H54" s="18">
        <v>0.009</v>
      </c>
      <c r="I54" s="26">
        <v>0.01</v>
      </c>
      <c r="J54" t="s">
        <v>6</v>
      </c>
      <c r="M54">
        <v>0.5</v>
      </c>
      <c r="N54" s="8">
        <v>0.0029</v>
      </c>
      <c r="O54" s="3">
        <v>0.0296</v>
      </c>
      <c r="P54" t="s">
        <v>7</v>
      </c>
    </row>
    <row r="55" spans="3:16">
      <c r="C55" s="16"/>
      <c r="D55" s="17"/>
      <c r="G55">
        <v>2</v>
      </c>
      <c r="H55" s="18">
        <v>0.0128</v>
      </c>
      <c r="I55" s="26">
        <v>0.0339</v>
      </c>
      <c r="J55" t="s">
        <v>7</v>
      </c>
      <c r="M55">
        <v>0.5</v>
      </c>
      <c r="N55" s="4">
        <v>0.00295</v>
      </c>
      <c r="O55" s="22">
        <v>0.0009</v>
      </c>
      <c r="P55" t="s">
        <v>7</v>
      </c>
    </row>
    <row r="56" spans="1:16">
      <c r="A56" t="s">
        <v>11</v>
      </c>
      <c r="B56">
        <v>0.5</v>
      </c>
      <c r="C56" s="16">
        <v>0.000876</v>
      </c>
      <c r="D56" s="17">
        <v>0.001</v>
      </c>
      <c r="G56">
        <v>2</v>
      </c>
      <c r="H56" s="19">
        <v>0.0178</v>
      </c>
      <c r="I56" s="27">
        <v>0.0268</v>
      </c>
      <c r="J56" t="s">
        <v>7</v>
      </c>
      <c r="M56">
        <v>0.5</v>
      </c>
      <c r="N56" s="4">
        <v>0.000876</v>
      </c>
      <c r="O56" s="22">
        <v>0.001</v>
      </c>
      <c r="P56" t="s">
        <v>7</v>
      </c>
    </row>
    <row r="57" spans="2:16">
      <c r="B57">
        <v>1</v>
      </c>
      <c r="C57" s="16">
        <v>0.00217</v>
      </c>
      <c r="D57" s="17">
        <v>0.00858</v>
      </c>
      <c r="G57">
        <v>2</v>
      </c>
      <c r="H57" s="19">
        <v>0.0113</v>
      </c>
      <c r="I57" s="27">
        <v>0.0249</v>
      </c>
      <c r="J57" t="s">
        <v>7</v>
      </c>
      <c r="M57">
        <v>0.5</v>
      </c>
      <c r="N57" s="4">
        <v>0.00012</v>
      </c>
      <c r="O57" s="22">
        <v>0.00184</v>
      </c>
      <c r="P57" t="s">
        <v>7</v>
      </c>
    </row>
    <row r="58" spans="2:16">
      <c r="B58">
        <v>2</v>
      </c>
      <c r="C58" s="16">
        <v>0.002954</v>
      </c>
      <c r="D58" s="17">
        <v>0.0241</v>
      </c>
      <c r="G58">
        <v>2</v>
      </c>
      <c r="H58" s="19">
        <v>0.0045</v>
      </c>
      <c r="I58" s="27">
        <v>0.0155</v>
      </c>
      <c r="J58" t="s">
        <v>7</v>
      </c>
      <c r="M58">
        <v>0.5</v>
      </c>
      <c r="N58" s="4">
        <v>0.001</v>
      </c>
      <c r="O58" s="22">
        <v>0.0054</v>
      </c>
      <c r="P58" t="s">
        <v>7</v>
      </c>
    </row>
    <row r="59" spans="3:16">
      <c r="C59" s="16"/>
      <c r="D59" s="17"/>
      <c r="G59">
        <v>2</v>
      </c>
      <c r="H59" s="20">
        <v>0.0041</v>
      </c>
      <c r="I59" s="27">
        <v>0.0251</v>
      </c>
      <c r="J59" t="s">
        <v>7</v>
      </c>
      <c r="M59">
        <v>0.5</v>
      </c>
      <c r="N59" s="4">
        <v>0.00068</v>
      </c>
      <c r="O59" s="22">
        <v>0.00251</v>
      </c>
      <c r="P59" t="s">
        <v>7</v>
      </c>
    </row>
    <row r="60" spans="1:16">
      <c r="A60" t="s">
        <v>12</v>
      </c>
      <c r="B60">
        <v>0.5</v>
      </c>
      <c r="C60" s="16">
        <v>0.00012</v>
      </c>
      <c r="D60" s="17">
        <v>0.00184</v>
      </c>
      <c r="G60">
        <v>2</v>
      </c>
      <c r="H60" s="20">
        <v>0.0128</v>
      </c>
      <c r="I60" s="28">
        <v>0.0181</v>
      </c>
      <c r="J60" t="s">
        <v>6</v>
      </c>
      <c r="M60">
        <v>0.5</v>
      </c>
      <c r="N60" s="4">
        <v>0.00049</v>
      </c>
      <c r="O60" s="22">
        <v>0.0021</v>
      </c>
      <c r="P60" t="s">
        <v>7</v>
      </c>
    </row>
    <row r="61" spans="2:16">
      <c r="B61">
        <v>1</v>
      </c>
      <c r="C61" s="16">
        <v>0.00014</v>
      </c>
      <c r="D61" s="17">
        <v>0.00158</v>
      </c>
      <c r="G61">
        <v>2</v>
      </c>
      <c r="H61" s="20">
        <v>0.0068</v>
      </c>
      <c r="I61" s="28">
        <v>0.0111</v>
      </c>
      <c r="J61" t="s">
        <v>7</v>
      </c>
      <c r="M61">
        <v>0.5</v>
      </c>
      <c r="N61" s="4">
        <v>0.0163</v>
      </c>
      <c r="O61" s="22">
        <v>0.00648</v>
      </c>
      <c r="P61" t="s">
        <v>7</v>
      </c>
    </row>
    <row r="62" spans="2:16">
      <c r="B62">
        <v>2</v>
      </c>
      <c r="C62" s="16">
        <v>0.0002</v>
      </c>
      <c r="D62" s="17">
        <v>0.00511</v>
      </c>
      <c r="G62">
        <v>2</v>
      </c>
      <c r="H62" s="20">
        <v>0.0068</v>
      </c>
      <c r="I62" s="28">
        <v>0.0111</v>
      </c>
      <c r="J62" t="s">
        <v>6</v>
      </c>
      <c r="M62">
        <v>0.5</v>
      </c>
      <c r="N62" s="4">
        <v>0.0016</v>
      </c>
      <c r="O62" s="22">
        <v>0.0041</v>
      </c>
      <c r="P62" t="s">
        <v>7</v>
      </c>
    </row>
    <row r="63" spans="3:16">
      <c r="C63" s="16"/>
      <c r="D63" s="17"/>
      <c r="G63">
        <v>2</v>
      </c>
      <c r="H63" s="20">
        <v>0.045</v>
      </c>
      <c r="I63" s="28">
        <v>0.0309</v>
      </c>
      <c r="J63" t="s">
        <v>7</v>
      </c>
      <c r="M63">
        <v>1</v>
      </c>
      <c r="N63" s="12">
        <v>0.0149</v>
      </c>
      <c r="O63" s="23">
        <v>0.0026</v>
      </c>
      <c r="P63" t="s">
        <v>7</v>
      </c>
    </row>
    <row r="64" spans="1:16">
      <c r="A64" t="s">
        <v>13</v>
      </c>
      <c r="B64">
        <v>0.5</v>
      </c>
      <c r="C64" s="16">
        <v>0.001</v>
      </c>
      <c r="D64" s="17">
        <v>0.0054</v>
      </c>
      <c r="G64">
        <v>2</v>
      </c>
      <c r="H64" s="21">
        <v>0.0088</v>
      </c>
      <c r="I64" s="29">
        <v>0.0092</v>
      </c>
      <c r="M64">
        <v>1</v>
      </c>
      <c r="N64" s="14">
        <v>0.0113</v>
      </c>
      <c r="O64" s="25">
        <v>0.0117</v>
      </c>
      <c r="P64" t="s">
        <v>7</v>
      </c>
    </row>
    <row r="65" spans="2:16">
      <c r="B65">
        <v>1</v>
      </c>
      <c r="C65" s="16">
        <v>0.0007</v>
      </c>
      <c r="D65" s="17">
        <v>0.0043</v>
      </c>
      <c r="G65">
        <v>2</v>
      </c>
      <c r="H65" s="20">
        <v>0.0073</v>
      </c>
      <c r="I65" s="28">
        <v>0.0093</v>
      </c>
      <c r="J65" t="s">
        <v>6</v>
      </c>
      <c r="M65">
        <v>1</v>
      </c>
      <c r="N65" s="14">
        <v>0.0075</v>
      </c>
      <c r="O65" s="25">
        <v>0.0122</v>
      </c>
      <c r="P65" t="s">
        <v>7</v>
      </c>
    </row>
    <row r="66" spans="2:16">
      <c r="B66">
        <v>2</v>
      </c>
      <c r="C66" s="16">
        <v>0.0039</v>
      </c>
      <c r="D66" s="17">
        <v>0.0174</v>
      </c>
      <c r="G66">
        <v>2</v>
      </c>
      <c r="H66" s="18">
        <v>0.01471</v>
      </c>
      <c r="I66" s="26">
        <v>0.014129</v>
      </c>
      <c r="J66" t="s">
        <v>6</v>
      </c>
      <c r="M66">
        <v>1</v>
      </c>
      <c r="N66" s="14">
        <v>0.008</v>
      </c>
      <c r="O66" s="25">
        <v>0.0557</v>
      </c>
      <c r="P66" t="s">
        <v>7</v>
      </c>
    </row>
    <row r="67" spans="3:16">
      <c r="C67" s="16"/>
      <c r="D67" s="17"/>
      <c r="G67">
        <v>2</v>
      </c>
      <c r="H67" s="18">
        <v>0.002954</v>
      </c>
      <c r="I67" s="29">
        <v>0.0241</v>
      </c>
      <c r="J67" t="s">
        <v>6</v>
      </c>
      <c r="M67">
        <v>1</v>
      </c>
      <c r="N67" s="12">
        <v>0.0056</v>
      </c>
      <c r="O67" s="23">
        <v>0.002937</v>
      </c>
      <c r="P67" t="s">
        <v>7</v>
      </c>
    </row>
    <row r="68" spans="1:16">
      <c r="A68" t="s">
        <v>14</v>
      </c>
      <c r="B68">
        <v>0.5</v>
      </c>
      <c r="C68" s="16">
        <v>0.00021</v>
      </c>
      <c r="D68" s="17">
        <v>0.00116</v>
      </c>
      <c r="G68">
        <v>2</v>
      </c>
      <c r="H68" s="18">
        <v>0.0002</v>
      </c>
      <c r="I68" s="29">
        <v>0.00511</v>
      </c>
      <c r="J68" t="s">
        <v>6</v>
      </c>
      <c r="M68">
        <v>1</v>
      </c>
      <c r="N68" s="12">
        <v>0.00217</v>
      </c>
      <c r="O68" s="23">
        <v>0.00858</v>
      </c>
      <c r="P68" t="s">
        <v>7</v>
      </c>
    </row>
    <row r="69" spans="2:16">
      <c r="B69">
        <v>1</v>
      </c>
      <c r="C69" s="16">
        <v>0.00128</v>
      </c>
      <c r="D69" s="17">
        <v>0.00115</v>
      </c>
      <c r="G69">
        <v>2</v>
      </c>
      <c r="H69" s="18">
        <v>0.0039</v>
      </c>
      <c r="I69" s="29">
        <v>0.0174</v>
      </c>
      <c r="J69" t="s">
        <v>6</v>
      </c>
      <c r="M69">
        <v>1</v>
      </c>
      <c r="N69" s="12">
        <v>0.00014</v>
      </c>
      <c r="O69" s="23">
        <v>0.00158</v>
      </c>
      <c r="P69" t="s">
        <v>7</v>
      </c>
    </row>
    <row r="70" spans="2:16">
      <c r="B70">
        <v>2</v>
      </c>
      <c r="C70" s="16">
        <v>0.000274</v>
      </c>
      <c r="D70" s="17">
        <v>0.00265</v>
      </c>
      <c r="G70">
        <v>2</v>
      </c>
      <c r="H70" s="18">
        <v>0.000274</v>
      </c>
      <c r="I70" s="29">
        <v>0.00265</v>
      </c>
      <c r="J70" t="s">
        <v>7</v>
      </c>
      <c r="M70">
        <v>1</v>
      </c>
      <c r="N70" s="12">
        <v>0.0007</v>
      </c>
      <c r="O70" s="23">
        <v>0.0043</v>
      </c>
      <c r="P70" t="s">
        <v>7</v>
      </c>
    </row>
    <row r="71" spans="3:16">
      <c r="C71" s="16"/>
      <c r="D71" s="17"/>
      <c r="G71">
        <v>2</v>
      </c>
      <c r="H71" s="18">
        <v>0.00064</v>
      </c>
      <c r="I71" s="29">
        <v>0.00767</v>
      </c>
      <c r="J71" t="s">
        <v>6</v>
      </c>
      <c r="M71">
        <v>1</v>
      </c>
      <c r="N71" s="12">
        <v>0.00042</v>
      </c>
      <c r="O71" s="23">
        <v>0.00605</v>
      </c>
      <c r="P71" t="s">
        <v>7</v>
      </c>
    </row>
    <row r="72" spans="1:16">
      <c r="A72" t="s">
        <v>15</v>
      </c>
      <c r="B72">
        <v>0.5</v>
      </c>
      <c r="C72" s="16">
        <v>0.00068</v>
      </c>
      <c r="D72" s="17">
        <v>0.00251</v>
      </c>
      <c r="G72">
        <v>2</v>
      </c>
      <c r="H72" s="18">
        <v>0.00093</v>
      </c>
      <c r="I72" s="29">
        <v>0.01458</v>
      </c>
      <c r="J72" t="s">
        <v>6</v>
      </c>
      <c r="M72">
        <v>1</v>
      </c>
      <c r="N72" s="12">
        <v>0.00032</v>
      </c>
      <c r="O72" s="23">
        <v>0.01275</v>
      </c>
      <c r="P72" t="s">
        <v>7</v>
      </c>
    </row>
    <row r="73" spans="2:16">
      <c r="B73">
        <v>1</v>
      </c>
      <c r="C73" s="16">
        <v>0.00042</v>
      </c>
      <c r="D73" s="17">
        <v>0.00605</v>
      </c>
      <c r="G73">
        <v>2</v>
      </c>
      <c r="H73" s="18">
        <v>0.014</v>
      </c>
      <c r="I73" s="29">
        <v>0.02157</v>
      </c>
      <c r="J73" t="s">
        <v>6</v>
      </c>
      <c r="M73">
        <v>1</v>
      </c>
      <c r="N73" s="12">
        <v>0.0116</v>
      </c>
      <c r="O73" s="23">
        <v>0.00522</v>
      </c>
      <c r="P73" t="s">
        <v>7</v>
      </c>
    </row>
    <row r="74" spans="2:16">
      <c r="B74">
        <v>2</v>
      </c>
      <c r="C74" s="16">
        <v>0.00064</v>
      </c>
      <c r="D74" s="17">
        <v>0.00767</v>
      </c>
      <c r="G74">
        <v>2</v>
      </c>
      <c r="H74" s="18">
        <v>0.0017</v>
      </c>
      <c r="I74" s="29">
        <v>0.00306</v>
      </c>
      <c r="J74" t="s">
        <v>7</v>
      </c>
      <c r="M74">
        <v>1</v>
      </c>
      <c r="N74" s="12">
        <v>0.0132</v>
      </c>
      <c r="O74" s="23">
        <v>0.0129</v>
      </c>
      <c r="P74" t="s">
        <v>7</v>
      </c>
    </row>
    <row r="75" spans="3:16">
      <c r="C75" s="16"/>
      <c r="D75" s="17"/>
      <c r="G75">
        <v>2</v>
      </c>
      <c r="H75" s="18">
        <v>0.0016</v>
      </c>
      <c r="I75" s="29">
        <v>0.0082</v>
      </c>
      <c r="J75" t="s">
        <v>7</v>
      </c>
      <c r="M75">
        <v>2</v>
      </c>
      <c r="N75" s="18">
        <v>0.009</v>
      </c>
      <c r="O75" s="26">
        <v>0.01</v>
      </c>
      <c r="P75" t="s">
        <v>7</v>
      </c>
    </row>
    <row r="76" spans="1:16">
      <c r="A76" t="s">
        <v>16</v>
      </c>
      <c r="B76">
        <v>0.5</v>
      </c>
      <c r="C76" s="16">
        <v>0.00049</v>
      </c>
      <c r="D76" s="17">
        <v>0.0021</v>
      </c>
      <c r="G76">
        <v>2</v>
      </c>
      <c r="H76" s="18">
        <v>0.0064</v>
      </c>
      <c r="I76" s="29">
        <v>0.0057</v>
      </c>
      <c r="J76" t="s">
        <v>7</v>
      </c>
      <c r="M76">
        <v>2</v>
      </c>
      <c r="N76" s="20">
        <v>0.0128</v>
      </c>
      <c r="O76" s="28">
        <v>0.0181</v>
      </c>
      <c r="P76" t="s">
        <v>7</v>
      </c>
    </row>
    <row r="77" spans="2:16">
      <c r="B77">
        <v>1</v>
      </c>
      <c r="C77" s="16">
        <v>0.00032</v>
      </c>
      <c r="D77" s="17">
        <v>0.01275</v>
      </c>
      <c r="G77">
        <v>2</v>
      </c>
      <c r="H77" s="18">
        <v>0.0063</v>
      </c>
      <c r="I77" s="26">
        <v>0.0046</v>
      </c>
      <c r="M77">
        <v>2</v>
      </c>
      <c r="N77" s="20">
        <v>0.0068</v>
      </c>
      <c r="O77" s="28">
        <v>0.0111</v>
      </c>
      <c r="P77" t="s">
        <v>7</v>
      </c>
    </row>
    <row r="78" spans="2:16">
      <c r="B78">
        <v>2</v>
      </c>
      <c r="C78" s="16">
        <v>0.00093</v>
      </c>
      <c r="D78" s="17">
        <v>0.01458</v>
      </c>
      <c r="G78">
        <v>2</v>
      </c>
      <c r="H78" s="18">
        <v>0.0218</v>
      </c>
      <c r="I78" s="26">
        <v>0.0175</v>
      </c>
      <c r="J78" t="s">
        <v>6</v>
      </c>
      <c r="M78">
        <v>2</v>
      </c>
      <c r="N78" s="20">
        <v>0.0073</v>
      </c>
      <c r="O78" s="28">
        <v>0.0093</v>
      </c>
      <c r="P78" t="s">
        <v>7</v>
      </c>
    </row>
    <row r="79" spans="3:16">
      <c r="C79" s="16"/>
      <c r="D79" s="17"/>
      <c r="G79">
        <v>2</v>
      </c>
      <c r="H79" s="18">
        <v>0.0036404</v>
      </c>
      <c r="I79" s="26">
        <v>0.0059</v>
      </c>
      <c r="J79" t="s">
        <v>7</v>
      </c>
      <c r="M79">
        <v>2</v>
      </c>
      <c r="N79" s="18">
        <v>0.01471</v>
      </c>
      <c r="O79" s="26">
        <v>0.014129</v>
      </c>
      <c r="P79" t="s">
        <v>7</v>
      </c>
    </row>
    <row r="80" spans="1:16">
      <c r="A80" t="s">
        <v>17</v>
      </c>
      <c r="B80">
        <v>0.5</v>
      </c>
      <c r="C80" s="16">
        <v>0.0163</v>
      </c>
      <c r="D80" s="17">
        <v>0.00648</v>
      </c>
      <c r="M80">
        <v>2</v>
      </c>
      <c r="N80" s="18">
        <v>0.002954</v>
      </c>
      <c r="O80" s="29">
        <v>0.0241</v>
      </c>
      <c r="P80" t="s">
        <v>7</v>
      </c>
    </row>
    <row r="81" spans="2:16">
      <c r="B81">
        <v>1</v>
      </c>
      <c r="C81" s="16">
        <v>0.0116</v>
      </c>
      <c r="D81" s="17">
        <v>0.00522</v>
      </c>
      <c r="M81">
        <v>2</v>
      </c>
      <c r="N81" s="18">
        <v>0.0002</v>
      </c>
      <c r="O81" s="29">
        <v>0.00511</v>
      </c>
      <c r="P81" t="s">
        <v>7</v>
      </c>
    </row>
    <row r="82" spans="2:16">
      <c r="B82">
        <v>2</v>
      </c>
      <c r="C82" s="16">
        <v>0.014</v>
      </c>
      <c r="D82" s="17">
        <v>0.02157</v>
      </c>
      <c r="G82" t="s">
        <v>8</v>
      </c>
      <c r="H82">
        <f>AVERAGE(H2:H27)</f>
        <v>0.00396665384615385</v>
      </c>
      <c r="I82">
        <f>AVERAGE(I2:I27)</f>
        <v>0.00500530769230769</v>
      </c>
      <c r="M82">
        <v>2</v>
      </c>
      <c r="N82" s="18">
        <v>0.0039</v>
      </c>
      <c r="O82" s="29">
        <v>0.0174</v>
      </c>
      <c r="P82" t="s">
        <v>7</v>
      </c>
    </row>
    <row r="83" spans="3:16">
      <c r="C83" s="16"/>
      <c r="D83" s="17"/>
      <c r="H83">
        <f>AVERAGE(H28:H53)</f>
        <v>0.00584348461538461</v>
      </c>
      <c r="I83">
        <f>AVERAGE(I28:I53)</f>
        <v>0.0105660384615385</v>
      </c>
      <c r="M83">
        <v>2</v>
      </c>
      <c r="N83" s="18">
        <v>0.00064</v>
      </c>
      <c r="O83" s="29">
        <v>0.00767</v>
      </c>
      <c r="P83" t="s">
        <v>7</v>
      </c>
    </row>
    <row r="84" spans="1:15">
      <c r="A84" t="s">
        <v>18</v>
      </c>
      <c r="B84">
        <v>0.5</v>
      </c>
      <c r="C84" s="16">
        <v>0.0007</v>
      </c>
      <c r="D84" s="17">
        <v>0.00086</v>
      </c>
      <c r="H84">
        <f>AVERAGE(H54:H79)</f>
        <v>0.00869416923076923</v>
      </c>
      <c r="I84">
        <f>AVERAGE(I54:I79)</f>
        <v>0.0145411153846154</v>
      </c>
      <c r="M84">
        <v>2</v>
      </c>
      <c r="N84" s="18">
        <v>0.00093</v>
      </c>
      <c r="O84" s="29">
        <v>0.01458</v>
      </c>
    </row>
    <row r="85" spans="2:15">
      <c r="B85">
        <v>1</v>
      </c>
      <c r="C85" s="16">
        <v>0.0013</v>
      </c>
      <c r="D85" s="17">
        <v>0.00235</v>
      </c>
      <c r="M85">
        <v>2</v>
      </c>
      <c r="N85" s="18">
        <v>0.014</v>
      </c>
      <c r="O85" s="29">
        <v>0.02157</v>
      </c>
    </row>
    <row r="86" spans="2:15">
      <c r="B86">
        <v>2</v>
      </c>
      <c r="C86" s="16">
        <v>0.0017</v>
      </c>
      <c r="D86" s="17">
        <v>0.00306</v>
      </c>
      <c r="G86" t="s">
        <v>19</v>
      </c>
      <c r="H86">
        <f>STDEV(H2:H27)/SQRT(COUNT(H2:H27))</f>
        <v>0.00118385156936333</v>
      </c>
      <c r="I86">
        <f>STDEV(I2:I27)/SQRT(COUNT(I2:I27))</f>
        <v>0.0011976815497763</v>
      </c>
      <c r="M86">
        <v>2</v>
      </c>
      <c r="N86" s="18">
        <v>0.0218</v>
      </c>
      <c r="O86" s="26">
        <v>0.0175</v>
      </c>
    </row>
    <row r="87" spans="3:15">
      <c r="C87" s="16"/>
      <c r="D87" s="17"/>
      <c r="H87">
        <f>STDEV(H28:H53)/SQRT(COUNT(H28:H53))</f>
        <v>0.00101696681486879</v>
      </c>
      <c r="I87">
        <f>STDEV(I28:I53)/SQRT(COUNT(I28:I53))</f>
        <v>0.00220578148752547</v>
      </c>
      <c r="N87" s="31"/>
      <c r="O87" s="31"/>
    </row>
    <row r="88" spans="1:15">
      <c r="A88" t="s">
        <v>20</v>
      </c>
      <c r="B88">
        <v>0.5</v>
      </c>
      <c r="C88" s="16">
        <v>0.0012</v>
      </c>
      <c r="D88" s="17">
        <v>0.0062</v>
      </c>
      <c r="H88">
        <f>STDEV(H54:H79)/SQRT(COUNT(H54:H79))</f>
        <v>0.00183365094414034</v>
      </c>
      <c r="I88">
        <f>STDEV(I54:I79)/SQRT(COUNT(I54:I79))</f>
        <v>0.00174728892800504</v>
      </c>
      <c r="M88" t="s">
        <v>8</v>
      </c>
      <c r="N88">
        <f>AVERAGE(N51:N62)</f>
        <v>0.00453466666666667</v>
      </c>
      <c r="O88">
        <f>AVERAGE(O51:O62)</f>
        <v>0.00574416666666667</v>
      </c>
    </row>
    <row r="89" spans="2:15">
      <c r="B89">
        <v>1</v>
      </c>
      <c r="C89" s="16">
        <v>0.0015</v>
      </c>
      <c r="D89" s="17">
        <v>0.0069</v>
      </c>
      <c r="N89">
        <f>AVERAGE(N63:N74)</f>
        <v>0.00632083333333333</v>
      </c>
      <c r="O89">
        <f>AVERAGE(O63:O74)</f>
        <v>0.0113764166666667</v>
      </c>
    </row>
    <row r="90" spans="2:15">
      <c r="B90">
        <v>2</v>
      </c>
      <c r="C90" s="16">
        <v>0.0016</v>
      </c>
      <c r="D90" s="17">
        <v>0.0082</v>
      </c>
      <c r="N90">
        <f>AVERAGE(N75:N86)</f>
        <v>0.0079195</v>
      </c>
      <c r="O90">
        <f>AVERAGE(O75:O86)</f>
        <v>0.01421325</v>
      </c>
    </row>
    <row r="91" spans="3:4">
      <c r="C91" s="16"/>
      <c r="D91" s="17"/>
    </row>
    <row r="92" spans="1:4">
      <c r="A92" t="s">
        <v>21</v>
      </c>
      <c r="B92">
        <v>0.5</v>
      </c>
      <c r="C92" s="16">
        <v>0.00049</v>
      </c>
      <c r="D92" s="17">
        <v>0.0021</v>
      </c>
    </row>
    <row r="93" spans="2:15">
      <c r="B93">
        <v>1</v>
      </c>
      <c r="C93" s="16">
        <v>0.0054</v>
      </c>
      <c r="D93" s="17">
        <v>0.0075</v>
      </c>
      <c r="M93" t="s">
        <v>19</v>
      </c>
      <c r="N93">
        <f>AVERAGE(N51:N62)/SQRT(COUNT(N51:N62))</f>
        <v>0.00130904551034261</v>
      </c>
      <c r="O93">
        <f>AVERAGE(O51:O62)/SQRT(COUNT(O51:O62))</f>
        <v>0.00165819808563504</v>
      </c>
    </row>
    <row r="94" spans="2:15">
      <c r="B94">
        <v>2</v>
      </c>
      <c r="C94" s="16">
        <v>0.0064</v>
      </c>
      <c r="D94" s="17">
        <v>0.0057</v>
      </c>
      <c r="N94">
        <f>AVERAGE(N63:N74)/SQRT(COUNT(N63:N74))</f>
        <v>0.00182466741325138</v>
      </c>
      <c r="O94">
        <f>AVERAGE(O63:O74)/SQRT(COUNT(O63:O74))</f>
        <v>0.00328408861245667</v>
      </c>
    </row>
    <row r="95" spans="3:15">
      <c r="C95" s="16"/>
      <c r="D95" s="17"/>
      <c r="N95">
        <f>AVERAGE(N75:N86)/SQRT(COUNT(N75:N86))</f>
        <v>0.00228616272842362</v>
      </c>
      <c r="O95">
        <f>AVERAGE(O75:O86)/SQRT(COUNT(O75:O86))</f>
        <v>0.00410301185677972</v>
      </c>
    </row>
    <row r="96" spans="1:4">
      <c r="A96" t="s">
        <v>22</v>
      </c>
      <c r="C96" s="16">
        <v>0.000604</v>
      </c>
      <c r="D96" s="17">
        <v>0.000988</v>
      </c>
    </row>
    <row r="97" spans="3:4">
      <c r="C97" s="16">
        <v>0.0023</v>
      </c>
      <c r="D97" s="17">
        <v>0.002</v>
      </c>
    </row>
    <row r="98" spans="3:4">
      <c r="C98" s="16">
        <v>0.0063</v>
      </c>
      <c r="D98" s="17">
        <v>0.0046</v>
      </c>
    </row>
    <row r="99" spans="3:4">
      <c r="C99" s="16"/>
      <c r="D99" s="17"/>
    </row>
    <row r="100" spans="1:4">
      <c r="A100" t="s">
        <v>23</v>
      </c>
      <c r="C100" s="16">
        <v>0.0016</v>
      </c>
      <c r="D100" s="17">
        <v>0.0041</v>
      </c>
    </row>
    <row r="101" spans="3:4">
      <c r="C101" s="16">
        <v>0.0132</v>
      </c>
      <c r="D101" s="17">
        <v>0.0129</v>
      </c>
    </row>
    <row r="102" spans="3:4">
      <c r="C102" s="16">
        <v>0.0218</v>
      </c>
      <c r="D102" s="17">
        <v>0.0175</v>
      </c>
    </row>
    <row r="103" spans="3:4">
      <c r="C103" s="16"/>
      <c r="D103" s="17"/>
    </row>
    <row r="104" spans="1:4">
      <c r="A104" t="s">
        <v>24</v>
      </c>
      <c r="C104" s="16">
        <v>0.001163</v>
      </c>
      <c r="D104" s="17">
        <v>0.0023</v>
      </c>
    </row>
    <row r="105" spans="3:4">
      <c r="C105" s="16">
        <v>0.0020006</v>
      </c>
      <c r="D105" s="17">
        <v>0.0033</v>
      </c>
    </row>
    <row r="106" spans="3:4">
      <c r="C106" s="16">
        <v>0.0036404</v>
      </c>
      <c r="D106" s="17">
        <v>0.0059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re-orgnized_data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rfLiu</dc:creator>
  <cp:lastModifiedBy>RF_Liu</cp:lastModifiedBy>
  <dcterms:created xsi:type="dcterms:W3CDTF">2023-05-12T11:15:00Z</dcterms:created>
  <dcterms:modified xsi:type="dcterms:W3CDTF">2025-10-12T02:09:54Z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A2E53D14FBC34D1698DA79EC6D45DD5F_13</vt:lpwstr>
  </property>
</Properties>
</file>